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lindipiginja/Documents/CS4804/a2-DataVis-5ways/"/>
    </mc:Choice>
  </mc:AlternateContent>
  <xr:revisionPtr revIDLastSave="0" documentId="8_{9C55E56C-ADE1-CD4C-827F-1F0B54D5FD7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2" i="1"/>
  <c r="L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T2" i="1"/>
  <c r="S2" i="1"/>
  <c r="R2" i="1"/>
  <c r="Q2" i="1"/>
  <c r="P2" i="1"/>
  <c r="O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</calcChain>
</file>

<file path=xl/sharedStrings.xml><?xml version="1.0" encoding="utf-8"?>
<sst xmlns="http://schemas.openxmlformats.org/spreadsheetml/2006/main" count="1057" uniqueCount="26">
  <si>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</si>
  <si>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</si>
  <si>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</si>
  <si>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</si>
  <si>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</si>
  <si>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</si>
  <si>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</si>
  <si>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</si>
  <si>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A_x</t>
  </si>
  <si>
    <t>A_y</t>
  </si>
  <si>
    <t>A_size</t>
  </si>
  <si>
    <t>C_x</t>
  </si>
  <si>
    <t>C_y</t>
  </si>
  <si>
    <t>C_size</t>
  </si>
  <si>
    <t>G_x</t>
  </si>
  <si>
    <t>G_y</t>
  </si>
  <si>
    <t>G_size</t>
  </si>
  <si>
    <t>Adelie</t>
  </si>
  <si>
    <t>Torgersen</t>
  </si>
  <si>
    <t>male</t>
  </si>
  <si>
    <t>female</t>
  </si>
  <si>
    <t>NA</t>
  </si>
  <si>
    <t>Biscoe</t>
  </si>
  <si>
    <t>Dream</t>
  </si>
  <si>
    <t>Gentoo</t>
  </si>
  <si>
    <t>Chinstrap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</si>
</sst>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v>Adelie</c:v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xVal>
            <c:numRef>
              <c:f>Sheet1!$L$2:$L$345</c:f>
              <c:numCache>
                <c:formatCode>General</c:formatCode>
                <c:ptCount val="344"/>
                <c:pt idx="0">
                  <c:v>181</c:v>
                </c:pt>
                <c:pt idx="1">
                  <c:v>186</c:v>
                </c:pt>
                <c:pt idx="2">
                  <c:v>195</c:v>
                </c:pt>
                <c:pt idx="3">
                  <c:v>#N/A</c:v>
                </c:pt>
                <c:pt idx="4">
                  <c:v>193</c:v>
                </c:pt>
                <c:pt idx="5">
                  <c:v>190</c:v>
                </c:pt>
                <c:pt idx="6">
                  <c:v>181</c:v>
                </c:pt>
                <c:pt idx="7">
                  <c:v>195</c:v>
                </c:pt>
                <c:pt idx="8">
                  <c:v>193</c:v>
                </c:pt>
                <c:pt idx="9">
                  <c:v>190</c:v>
                </c:pt>
                <c:pt idx="10">
                  <c:v>186</c:v>
                </c:pt>
                <c:pt idx="11">
                  <c:v>180</c:v>
                </c:pt>
                <c:pt idx="12">
                  <c:v>182</c:v>
                </c:pt>
                <c:pt idx="13">
                  <c:v>191</c:v>
                </c:pt>
                <c:pt idx="14">
                  <c:v>198</c:v>
                </c:pt>
                <c:pt idx="15">
                  <c:v>185</c:v>
                </c:pt>
                <c:pt idx="16">
                  <c:v>195</c:v>
                </c:pt>
                <c:pt idx="17">
                  <c:v>197</c:v>
                </c:pt>
                <c:pt idx="18">
                  <c:v>184</c:v>
                </c:pt>
                <c:pt idx="19">
                  <c:v>194</c:v>
                </c:pt>
                <c:pt idx="20">
                  <c:v>174</c:v>
                </c:pt>
                <c:pt idx="21">
                  <c:v>180</c:v>
                </c:pt>
                <c:pt idx="22">
                  <c:v>189</c:v>
                </c:pt>
                <c:pt idx="23">
                  <c:v>185</c:v>
                </c:pt>
                <c:pt idx="24">
                  <c:v>180</c:v>
                </c:pt>
                <c:pt idx="25">
                  <c:v>187</c:v>
                </c:pt>
                <c:pt idx="26">
                  <c:v>183</c:v>
                </c:pt>
                <c:pt idx="27">
                  <c:v>187</c:v>
                </c:pt>
                <c:pt idx="28">
                  <c:v>172</c:v>
                </c:pt>
                <c:pt idx="29">
                  <c:v>180</c:v>
                </c:pt>
                <c:pt idx="30">
                  <c:v>178</c:v>
                </c:pt>
                <c:pt idx="31">
                  <c:v>178</c:v>
                </c:pt>
                <c:pt idx="32">
                  <c:v>188</c:v>
                </c:pt>
                <c:pt idx="33">
                  <c:v>184</c:v>
                </c:pt>
                <c:pt idx="34">
                  <c:v>195</c:v>
                </c:pt>
                <c:pt idx="35">
                  <c:v>196</c:v>
                </c:pt>
                <c:pt idx="36">
                  <c:v>190</c:v>
                </c:pt>
                <c:pt idx="37">
                  <c:v>180</c:v>
                </c:pt>
                <c:pt idx="38">
                  <c:v>181</c:v>
                </c:pt>
                <c:pt idx="39">
                  <c:v>184</c:v>
                </c:pt>
                <c:pt idx="40">
                  <c:v>182</c:v>
                </c:pt>
                <c:pt idx="41">
                  <c:v>195</c:v>
                </c:pt>
                <c:pt idx="42">
                  <c:v>186</c:v>
                </c:pt>
                <c:pt idx="43">
                  <c:v>196</c:v>
                </c:pt>
                <c:pt idx="44">
                  <c:v>185</c:v>
                </c:pt>
                <c:pt idx="45">
                  <c:v>190</c:v>
                </c:pt>
                <c:pt idx="46">
                  <c:v>182</c:v>
                </c:pt>
                <c:pt idx="47">
                  <c:v>179</c:v>
                </c:pt>
                <c:pt idx="48">
                  <c:v>190</c:v>
                </c:pt>
                <c:pt idx="49">
                  <c:v>191</c:v>
                </c:pt>
                <c:pt idx="50">
                  <c:v>186</c:v>
                </c:pt>
                <c:pt idx="51">
                  <c:v>188</c:v>
                </c:pt>
                <c:pt idx="52">
                  <c:v>190</c:v>
                </c:pt>
                <c:pt idx="53">
                  <c:v>200</c:v>
                </c:pt>
                <c:pt idx="54">
                  <c:v>187</c:v>
                </c:pt>
                <c:pt idx="55">
                  <c:v>191</c:v>
                </c:pt>
                <c:pt idx="56">
                  <c:v>186</c:v>
                </c:pt>
                <c:pt idx="57">
                  <c:v>193</c:v>
                </c:pt>
                <c:pt idx="58">
                  <c:v>181</c:v>
                </c:pt>
                <c:pt idx="59">
                  <c:v>194</c:v>
                </c:pt>
                <c:pt idx="60">
                  <c:v>185</c:v>
                </c:pt>
                <c:pt idx="61">
                  <c:v>195</c:v>
                </c:pt>
                <c:pt idx="62">
                  <c:v>185</c:v>
                </c:pt>
                <c:pt idx="63">
                  <c:v>192</c:v>
                </c:pt>
                <c:pt idx="64">
                  <c:v>184</c:v>
                </c:pt>
                <c:pt idx="65">
                  <c:v>192</c:v>
                </c:pt>
                <c:pt idx="66">
                  <c:v>195</c:v>
                </c:pt>
                <c:pt idx="67">
                  <c:v>188</c:v>
                </c:pt>
                <c:pt idx="68">
                  <c:v>190</c:v>
                </c:pt>
                <c:pt idx="69">
                  <c:v>198</c:v>
                </c:pt>
                <c:pt idx="70">
                  <c:v>190</c:v>
                </c:pt>
                <c:pt idx="71">
                  <c:v>190</c:v>
                </c:pt>
                <c:pt idx="72">
                  <c:v>196</c:v>
                </c:pt>
                <c:pt idx="73">
                  <c:v>197</c:v>
                </c:pt>
                <c:pt idx="74">
                  <c:v>190</c:v>
                </c:pt>
                <c:pt idx="75">
                  <c:v>195</c:v>
                </c:pt>
                <c:pt idx="76">
                  <c:v>191</c:v>
                </c:pt>
                <c:pt idx="77">
                  <c:v>184</c:v>
                </c:pt>
                <c:pt idx="78">
                  <c:v>187</c:v>
                </c:pt>
                <c:pt idx="79">
                  <c:v>195</c:v>
                </c:pt>
                <c:pt idx="80">
                  <c:v>189</c:v>
                </c:pt>
                <c:pt idx="81">
                  <c:v>196</c:v>
                </c:pt>
                <c:pt idx="82">
                  <c:v>187</c:v>
                </c:pt>
                <c:pt idx="83">
                  <c:v>193</c:v>
                </c:pt>
                <c:pt idx="84">
                  <c:v>191</c:v>
                </c:pt>
                <c:pt idx="85">
                  <c:v>194</c:v>
                </c:pt>
                <c:pt idx="86">
                  <c:v>190</c:v>
                </c:pt>
                <c:pt idx="87">
                  <c:v>189</c:v>
                </c:pt>
                <c:pt idx="88">
                  <c:v>189</c:v>
                </c:pt>
                <c:pt idx="89">
                  <c:v>190</c:v>
                </c:pt>
                <c:pt idx="90">
                  <c:v>202</c:v>
                </c:pt>
                <c:pt idx="91">
                  <c:v>205</c:v>
                </c:pt>
                <c:pt idx="92">
                  <c:v>185</c:v>
                </c:pt>
                <c:pt idx="93">
                  <c:v>186</c:v>
                </c:pt>
                <c:pt idx="94">
                  <c:v>187</c:v>
                </c:pt>
                <c:pt idx="95">
                  <c:v>208</c:v>
                </c:pt>
                <c:pt idx="96">
                  <c:v>190</c:v>
                </c:pt>
                <c:pt idx="97">
                  <c:v>196</c:v>
                </c:pt>
                <c:pt idx="98">
                  <c:v>178</c:v>
                </c:pt>
                <c:pt idx="99">
                  <c:v>192</c:v>
                </c:pt>
                <c:pt idx="100">
                  <c:v>192</c:v>
                </c:pt>
                <c:pt idx="101">
                  <c:v>203</c:v>
                </c:pt>
                <c:pt idx="102">
                  <c:v>183</c:v>
                </c:pt>
                <c:pt idx="103">
                  <c:v>190</c:v>
                </c:pt>
                <c:pt idx="104">
                  <c:v>193</c:v>
                </c:pt>
                <c:pt idx="105">
                  <c:v>184</c:v>
                </c:pt>
                <c:pt idx="106">
                  <c:v>199</c:v>
                </c:pt>
                <c:pt idx="107">
                  <c:v>190</c:v>
                </c:pt>
                <c:pt idx="108">
                  <c:v>181</c:v>
                </c:pt>
                <c:pt idx="109">
                  <c:v>197</c:v>
                </c:pt>
                <c:pt idx="110">
                  <c:v>198</c:v>
                </c:pt>
                <c:pt idx="111">
                  <c:v>191</c:v>
                </c:pt>
                <c:pt idx="112">
                  <c:v>193</c:v>
                </c:pt>
                <c:pt idx="113">
                  <c:v>197</c:v>
                </c:pt>
                <c:pt idx="114">
                  <c:v>191</c:v>
                </c:pt>
                <c:pt idx="115">
                  <c:v>196</c:v>
                </c:pt>
                <c:pt idx="116">
                  <c:v>188</c:v>
                </c:pt>
                <c:pt idx="117">
                  <c:v>199</c:v>
                </c:pt>
                <c:pt idx="118">
                  <c:v>189</c:v>
                </c:pt>
                <c:pt idx="119">
                  <c:v>189</c:v>
                </c:pt>
                <c:pt idx="120">
                  <c:v>187</c:v>
                </c:pt>
                <c:pt idx="121">
                  <c:v>198</c:v>
                </c:pt>
                <c:pt idx="122">
                  <c:v>176</c:v>
                </c:pt>
                <c:pt idx="123">
                  <c:v>202</c:v>
                </c:pt>
                <c:pt idx="124">
                  <c:v>186</c:v>
                </c:pt>
                <c:pt idx="125">
                  <c:v>199</c:v>
                </c:pt>
                <c:pt idx="126">
                  <c:v>191</c:v>
                </c:pt>
                <c:pt idx="127">
                  <c:v>195</c:v>
                </c:pt>
                <c:pt idx="128">
                  <c:v>191</c:v>
                </c:pt>
                <c:pt idx="129">
                  <c:v>210</c:v>
                </c:pt>
                <c:pt idx="130">
                  <c:v>190</c:v>
                </c:pt>
                <c:pt idx="131">
                  <c:v>197</c:v>
                </c:pt>
                <c:pt idx="132">
                  <c:v>193</c:v>
                </c:pt>
                <c:pt idx="133">
                  <c:v>199</c:v>
                </c:pt>
                <c:pt idx="134">
                  <c:v>187</c:v>
                </c:pt>
                <c:pt idx="135">
                  <c:v>190</c:v>
                </c:pt>
                <c:pt idx="136">
                  <c:v>191</c:v>
                </c:pt>
                <c:pt idx="137">
                  <c:v>200</c:v>
                </c:pt>
                <c:pt idx="138">
                  <c:v>185</c:v>
                </c:pt>
                <c:pt idx="139">
                  <c:v>193</c:v>
                </c:pt>
                <c:pt idx="140">
                  <c:v>193</c:v>
                </c:pt>
                <c:pt idx="141">
                  <c:v>187</c:v>
                </c:pt>
                <c:pt idx="142">
                  <c:v>188</c:v>
                </c:pt>
                <c:pt idx="143">
                  <c:v>190</c:v>
                </c:pt>
                <c:pt idx="144">
                  <c:v>192</c:v>
                </c:pt>
                <c:pt idx="145">
                  <c:v>185</c:v>
                </c:pt>
                <c:pt idx="146">
                  <c:v>190</c:v>
                </c:pt>
                <c:pt idx="147">
                  <c:v>184</c:v>
                </c:pt>
                <c:pt idx="148">
                  <c:v>195</c:v>
                </c:pt>
                <c:pt idx="149">
                  <c:v>193</c:v>
                </c:pt>
                <c:pt idx="150">
                  <c:v>187</c:v>
                </c:pt>
                <c:pt idx="151">
                  <c:v>201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</c:numCache>
            </c:numRef>
          </c:xVal>
          <c:yVal>
            <c:numRef>
              <c:f>Sheet1!$M$2:$M$345</c:f>
              <c:numCache>
                <c:formatCode>General</c:formatCode>
                <c:ptCount val="344"/>
                <c:pt idx="0">
                  <c:v>3750</c:v>
                </c:pt>
                <c:pt idx="1">
                  <c:v>3800</c:v>
                </c:pt>
                <c:pt idx="2">
                  <c:v>3250</c:v>
                </c:pt>
                <c:pt idx="3">
                  <c:v>#N/A</c:v>
                </c:pt>
                <c:pt idx="4">
                  <c:v>3450</c:v>
                </c:pt>
                <c:pt idx="5">
                  <c:v>3650</c:v>
                </c:pt>
                <c:pt idx="6">
                  <c:v>3625</c:v>
                </c:pt>
                <c:pt idx="7">
                  <c:v>4675</c:v>
                </c:pt>
                <c:pt idx="8">
                  <c:v>3475</c:v>
                </c:pt>
                <c:pt idx="9">
                  <c:v>4250</c:v>
                </c:pt>
                <c:pt idx="10">
                  <c:v>3300</c:v>
                </c:pt>
                <c:pt idx="11">
                  <c:v>3700</c:v>
                </c:pt>
                <c:pt idx="12">
                  <c:v>3200</c:v>
                </c:pt>
                <c:pt idx="13">
                  <c:v>3800</c:v>
                </c:pt>
                <c:pt idx="14">
                  <c:v>4400</c:v>
                </c:pt>
                <c:pt idx="15">
                  <c:v>3700</c:v>
                </c:pt>
                <c:pt idx="16">
                  <c:v>3450</c:v>
                </c:pt>
                <c:pt idx="17">
                  <c:v>4500</c:v>
                </c:pt>
                <c:pt idx="18">
                  <c:v>3325</c:v>
                </c:pt>
                <c:pt idx="19">
                  <c:v>4200</c:v>
                </c:pt>
                <c:pt idx="20">
                  <c:v>3400</c:v>
                </c:pt>
                <c:pt idx="21">
                  <c:v>3600</c:v>
                </c:pt>
                <c:pt idx="22">
                  <c:v>3800</c:v>
                </c:pt>
                <c:pt idx="23">
                  <c:v>3950</c:v>
                </c:pt>
                <c:pt idx="24">
                  <c:v>3800</c:v>
                </c:pt>
                <c:pt idx="25">
                  <c:v>3800</c:v>
                </c:pt>
                <c:pt idx="26">
                  <c:v>3550</c:v>
                </c:pt>
                <c:pt idx="27">
                  <c:v>3200</c:v>
                </c:pt>
                <c:pt idx="28">
                  <c:v>3150</c:v>
                </c:pt>
                <c:pt idx="29">
                  <c:v>3950</c:v>
                </c:pt>
                <c:pt idx="30">
                  <c:v>3250</c:v>
                </c:pt>
                <c:pt idx="31">
                  <c:v>3900</c:v>
                </c:pt>
                <c:pt idx="32">
                  <c:v>3300</c:v>
                </c:pt>
                <c:pt idx="33">
                  <c:v>3900</c:v>
                </c:pt>
                <c:pt idx="34">
                  <c:v>3325</c:v>
                </c:pt>
                <c:pt idx="35">
                  <c:v>4150</c:v>
                </c:pt>
                <c:pt idx="36">
                  <c:v>3950</c:v>
                </c:pt>
                <c:pt idx="37">
                  <c:v>3550</c:v>
                </c:pt>
                <c:pt idx="38">
                  <c:v>3300</c:v>
                </c:pt>
                <c:pt idx="39">
                  <c:v>4650</c:v>
                </c:pt>
                <c:pt idx="40">
                  <c:v>3150</c:v>
                </c:pt>
                <c:pt idx="41">
                  <c:v>3900</c:v>
                </c:pt>
                <c:pt idx="42">
                  <c:v>3100</c:v>
                </c:pt>
                <c:pt idx="43">
                  <c:v>4400</c:v>
                </c:pt>
                <c:pt idx="44">
                  <c:v>3000</c:v>
                </c:pt>
                <c:pt idx="45">
                  <c:v>4600</c:v>
                </c:pt>
                <c:pt idx="46">
                  <c:v>3425</c:v>
                </c:pt>
                <c:pt idx="47">
                  <c:v>2975</c:v>
                </c:pt>
                <c:pt idx="48">
                  <c:v>3450</c:v>
                </c:pt>
                <c:pt idx="49">
                  <c:v>4150</c:v>
                </c:pt>
                <c:pt idx="50">
                  <c:v>3500</c:v>
                </c:pt>
                <c:pt idx="51">
                  <c:v>4300</c:v>
                </c:pt>
                <c:pt idx="52">
                  <c:v>3450</c:v>
                </c:pt>
                <c:pt idx="53">
                  <c:v>4050</c:v>
                </c:pt>
                <c:pt idx="54">
                  <c:v>2900</c:v>
                </c:pt>
                <c:pt idx="55">
                  <c:v>3700</c:v>
                </c:pt>
                <c:pt idx="56">
                  <c:v>3550</c:v>
                </c:pt>
                <c:pt idx="57">
                  <c:v>3800</c:v>
                </c:pt>
                <c:pt idx="58">
                  <c:v>2850</c:v>
                </c:pt>
                <c:pt idx="59">
                  <c:v>3750</c:v>
                </c:pt>
                <c:pt idx="60">
                  <c:v>3150</c:v>
                </c:pt>
                <c:pt idx="61">
                  <c:v>4400</c:v>
                </c:pt>
                <c:pt idx="62">
                  <c:v>3600</c:v>
                </c:pt>
                <c:pt idx="63">
                  <c:v>4050</c:v>
                </c:pt>
                <c:pt idx="64">
                  <c:v>2850</c:v>
                </c:pt>
                <c:pt idx="65">
                  <c:v>3950</c:v>
                </c:pt>
                <c:pt idx="66">
                  <c:v>3350</c:v>
                </c:pt>
                <c:pt idx="67">
                  <c:v>4100</c:v>
                </c:pt>
                <c:pt idx="68">
                  <c:v>3050</c:v>
                </c:pt>
                <c:pt idx="69">
                  <c:v>4450</c:v>
                </c:pt>
                <c:pt idx="70">
                  <c:v>3600</c:v>
                </c:pt>
                <c:pt idx="71">
                  <c:v>3900</c:v>
                </c:pt>
                <c:pt idx="72">
                  <c:v>3550</c:v>
                </c:pt>
                <c:pt idx="73">
                  <c:v>4150</c:v>
                </c:pt>
                <c:pt idx="74">
                  <c:v>3700</c:v>
                </c:pt>
                <c:pt idx="75">
                  <c:v>4250</c:v>
                </c:pt>
                <c:pt idx="76">
                  <c:v>3700</c:v>
                </c:pt>
                <c:pt idx="77">
                  <c:v>3900</c:v>
                </c:pt>
                <c:pt idx="78">
                  <c:v>3550</c:v>
                </c:pt>
                <c:pt idx="79">
                  <c:v>4000</c:v>
                </c:pt>
                <c:pt idx="80">
                  <c:v>3200</c:v>
                </c:pt>
                <c:pt idx="81">
                  <c:v>4700</c:v>
                </c:pt>
                <c:pt idx="82">
                  <c:v>3800</c:v>
                </c:pt>
                <c:pt idx="83">
                  <c:v>4200</c:v>
                </c:pt>
                <c:pt idx="84">
                  <c:v>3350</c:v>
                </c:pt>
                <c:pt idx="85">
                  <c:v>3550</c:v>
                </c:pt>
                <c:pt idx="86">
                  <c:v>3800</c:v>
                </c:pt>
                <c:pt idx="87">
                  <c:v>3500</c:v>
                </c:pt>
                <c:pt idx="88">
                  <c:v>3950</c:v>
                </c:pt>
                <c:pt idx="89">
                  <c:v>3600</c:v>
                </c:pt>
                <c:pt idx="90">
                  <c:v>3550</c:v>
                </c:pt>
                <c:pt idx="91">
                  <c:v>4300</c:v>
                </c:pt>
                <c:pt idx="92">
                  <c:v>3400</c:v>
                </c:pt>
                <c:pt idx="93">
                  <c:v>4450</c:v>
                </c:pt>
                <c:pt idx="94">
                  <c:v>3300</c:v>
                </c:pt>
                <c:pt idx="95">
                  <c:v>4300</c:v>
                </c:pt>
                <c:pt idx="96">
                  <c:v>3700</c:v>
                </c:pt>
                <c:pt idx="97">
                  <c:v>4350</c:v>
                </c:pt>
                <c:pt idx="98">
                  <c:v>2900</c:v>
                </c:pt>
                <c:pt idx="99">
                  <c:v>4100</c:v>
                </c:pt>
                <c:pt idx="100">
                  <c:v>3725</c:v>
                </c:pt>
                <c:pt idx="101">
                  <c:v>4725</c:v>
                </c:pt>
                <c:pt idx="102">
                  <c:v>3075</c:v>
                </c:pt>
                <c:pt idx="103">
                  <c:v>4250</c:v>
                </c:pt>
                <c:pt idx="104">
                  <c:v>2925</c:v>
                </c:pt>
                <c:pt idx="105">
                  <c:v>3550</c:v>
                </c:pt>
                <c:pt idx="106">
                  <c:v>3750</c:v>
                </c:pt>
                <c:pt idx="107">
                  <c:v>3900</c:v>
                </c:pt>
                <c:pt idx="108">
                  <c:v>3175</c:v>
                </c:pt>
                <c:pt idx="109">
                  <c:v>4775</c:v>
                </c:pt>
                <c:pt idx="110">
                  <c:v>3825</c:v>
                </c:pt>
                <c:pt idx="111">
                  <c:v>4600</c:v>
                </c:pt>
                <c:pt idx="112">
                  <c:v>3200</c:v>
                </c:pt>
                <c:pt idx="113">
                  <c:v>4275</c:v>
                </c:pt>
                <c:pt idx="114">
                  <c:v>3900</c:v>
                </c:pt>
                <c:pt idx="115">
                  <c:v>4075</c:v>
                </c:pt>
                <c:pt idx="116">
                  <c:v>2900</c:v>
                </c:pt>
                <c:pt idx="117">
                  <c:v>3775</c:v>
                </c:pt>
                <c:pt idx="118">
                  <c:v>3350</c:v>
                </c:pt>
                <c:pt idx="119">
                  <c:v>3325</c:v>
                </c:pt>
                <c:pt idx="120">
                  <c:v>3150</c:v>
                </c:pt>
                <c:pt idx="121">
                  <c:v>3500</c:v>
                </c:pt>
                <c:pt idx="122">
                  <c:v>3450</c:v>
                </c:pt>
                <c:pt idx="123">
                  <c:v>3875</c:v>
                </c:pt>
                <c:pt idx="124">
                  <c:v>3050</c:v>
                </c:pt>
                <c:pt idx="125">
                  <c:v>4000</c:v>
                </c:pt>
                <c:pt idx="126">
                  <c:v>3275</c:v>
                </c:pt>
                <c:pt idx="127">
                  <c:v>4300</c:v>
                </c:pt>
                <c:pt idx="128">
                  <c:v>3050</c:v>
                </c:pt>
                <c:pt idx="129">
                  <c:v>4000</c:v>
                </c:pt>
                <c:pt idx="130">
                  <c:v>3325</c:v>
                </c:pt>
                <c:pt idx="131">
                  <c:v>3500</c:v>
                </c:pt>
                <c:pt idx="132">
                  <c:v>3500</c:v>
                </c:pt>
                <c:pt idx="133">
                  <c:v>4475</c:v>
                </c:pt>
                <c:pt idx="134">
                  <c:v>3425</c:v>
                </c:pt>
                <c:pt idx="135">
                  <c:v>3900</c:v>
                </c:pt>
                <c:pt idx="136">
                  <c:v>3175</c:v>
                </c:pt>
                <c:pt idx="137">
                  <c:v>3975</c:v>
                </c:pt>
                <c:pt idx="138">
                  <c:v>3400</c:v>
                </c:pt>
                <c:pt idx="139">
                  <c:v>4250</c:v>
                </c:pt>
                <c:pt idx="140">
                  <c:v>3400</c:v>
                </c:pt>
                <c:pt idx="141">
                  <c:v>3475</c:v>
                </c:pt>
                <c:pt idx="142">
                  <c:v>3050</c:v>
                </c:pt>
                <c:pt idx="143">
                  <c:v>3725</c:v>
                </c:pt>
                <c:pt idx="144">
                  <c:v>3000</c:v>
                </c:pt>
                <c:pt idx="145">
                  <c:v>3650</c:v>
                </c:pt>
                <c:pt idx="146">
                  <c:v>4250</c:v>
                </c:pt>
                <c:pt idx="147">
                  <c:v>3475</c:v>
                </c:pt>
                <c:pt idx="148">
                  <c:v>3450</c:v>
                </c:pt>
                <c:pt idx="149">
                  <c:v>3750</c:v>
                </c:pt>
                <c:pt idx="150">
                  <c:v>3700</c:v>
                </c:pt>
                <c:pt idx="151">
                  <c:v>4000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</c:numCache>
            </c:numRef>
          </c:yVal>
          <c:bubbleSize>
            <c:numRef>
              <c:f>Sheet1!$N$2:$N$345</c:f>
              <c:numCache>
                <c:formatCode>General</c:formatCode>
                <c:ptCount val="344"/>
                <c:pt idx="0">
                  <c:v>39.1</c:v>
                </c:pt>
                <c:pt idx="1">
                  <c:v>39.5</c:v>
                </c:pt>
                <c:pt idx="2">
                  <c:v>40.299999999999997</c:v>
                </c:pt>
                <c:pt idx="3">
                  <c:v>#N/A</c:v>
                </c:pt>
                <c:pt idx="4">
                  <c:v>36.700000000000003</c:v>
                </c:pt>
                <c:pt idx="5">
                  <c:v>39.299999999999997</c:v>
                </c:pt>
                <c:pt idx="6">
                  <c:v>38.9</c:v>
                </c:pt>
                <c:pt idx="7">
                  <c:v>39.200000000000003</c:v>
                </c:pt>
                <c:pt idx="8">
                  <c:v>34.1</c:v>
                </c:pt>
                <c:pt idx="9">
                  <c:v>42</c:v>
                </c:pt>
                <c:pt idx="10">
                  <c:v>37.799999999999997</c:v>
                </c:pt>
                <c:pt idx="11">
                  <c:v>37.799999999999997</c:v>
                </c:pt>
                <c:pt idx="12">
                  <c:v>41.1</c:v>
                </c:pt>
                <c:pt idx="13">
                  <c:v>38.6</c:v>
                </c:pt>
                <c:pt idx="14">
                  <c:v>34.6</c:v>
                </c:pt>
                <c:pt idx="15">
                  <c:v>36.6</c:v>
                </c:pt>
                <c:pt idx="16">
                  <c:v>38.700000000000003</c:v>
                </c:pt>
                <c:pt idx="17">
                  <c:v>42.5</c:v>
                </c:pt>
                <c:pt idx="18">
                  <c:v>34.4</c:v>
                </c:pt>
                <c:pt idx="19">
                  <c:v>46</c:v>
                </c:pt>
                <c:pt idx="20">
                  <c:v>37.799999999999997</c:v>
                </c:pt>
                <c:pt idx="21">
                  <c:v>37.700000000000003</c:v>
                </c:pt>
                <c:pt idx="22">
                  <c:v>35.9</c:v>
                </c:pt>
                <c:pt idx="23">
                  <c:v>38.200000000000003</c:v>
                </c:pt>
                <c:pt idx="24">
                  <c:v>38.799999999999997</c:v>
                </c:pt>
                <c:pt idx="25">
                  <c:v>35.299999999999997</c:v>
                </c:pt>
                <c:pt idx="26">
                  <c:v>40.6</c:v>
                </c:pt>
                <c:pt idx="27">
                  <c:v>40.5</c:v>
                </c:pt>
                <c:pt idx="28">
                  <c:v>37.9</c:v>
                </c:pt>
                <c:pt idx="29">
                  <c:v>40.5</c:v>
                </c:pt>
                <c:pt idx="30">
                  <c:v>39.5</c:v>
                </c:pt>
                <c:pt idx="31">
                  <c:v>37.200000000000003</c:v>
                </c:pt>
                <c:pt idx="32">
                  <c:v>39.5</c:v>
                </c:pt>
                <c:pt idx="33">
                  <c:v>40.9</c:v>
                </c:pt>
                <c:pt idx="34">
                  <c:v>36.4</c:v>
                </c:pt>
                <c:pt idx="35">
                  <c:v>39.200000000000003</c:v>
                </c:pt>
                <c:pt idx="36">
                  <c:v>38.799999999999997</c:v>
                </c:pt>
                <c:pt idx="37">
                  <c:v>42.2</c:v>
                </c:pt>
                <c:pt idx="38">
                  <c:v>37.6</c:v>
                </c:pt>
                <c:pt idx="39">
                  <c:v>39.799999999999997</c:v>
                </c:pt>
                <c:pt idx="40">
                  <c:v>36.5</c:v>
                </c:pt>
                <c:pt idx="41">
                  <c:v>40.799999999999997</c:v>
                </c:pt>
                <c:pt idx="42">
                  <c:v>36</c:v>
                </c:pt>
                <c:pt idx="43">
                  <c:v>44.1</c:v>
                </c:pt>
                <c:pt idx="44">
                  <c:v>37</c:v>
                </c:pt>
                <c:pt idx="45">
                  <c:v>39.6</c:v>
                </c:pt>
                <c:pt idx="46">
                  <c:v>41.1</c:v>
                </c:pt>
                <c:pt idx="47">
                  <c:v>37.5</c:v>
                </c:pt>
                <c:pt idx="48">
                  <c:v>36</c:v>
                </c:pt>
                <c:pt idx="49">
                  <c:v>42.3</c:v>
                </c:pt>
                <c:pt idx="50">
                  <c:v>39.6</c:v>
                </c:pt>
                <c:pt idx="51">
                  <c:v>40.1</c:v>
                </c:pt>
                <c:pt idx="52">
                  <c:v>35</c:v>
                </c:pt>
                <c:pt idx="53">
                  <c:v>42</c:v>
                </c:pt>
                <c:pt idx="54">
                  <c:v>34.5</c:v>
                </c:pt>
                <c:pt idx="55">
                  <c:v>41.4</c:v>
                </c:pt>
                <c:pt idx="56">
                  <c:v>39</c:v>
                </c:pt>
                <c:pt idx="57">
                  <c:v>40.6</c:v>
                </c:pt>
                <c:pt idx="58">
                  <c:v>36.5</c:v>
                </c:pt>
                <c:pt idx="59">
                  <c:v>37.6</c:v>
                </c:pt>
                <c:pt idx="60">
                  <c:v>35.700000000000003</c:v>
                </c:pt>
                <c:pt idx="61">
                  <c:v>41.3</c:v>
                </c:pt>
                <c:pt idx="62">
                  <c:v>37.6</c:v>
                </c:pt>
                <c:pt idx="63">
                  <c:v>41.1</c:v>
                </c:pt>
                <c:pt idx="64">
                  <c:v>36.4</c:v>
                </c:pt>
                <c:pt idx="65">
                  <c:v>41.6</c:v>
                </c:pt>
                <c:pt idx="66">
                  <c:v>35.5</c:v>
                </c:pt>
                <c:pt idx="67">
                  <c:v>41.1</c:v>
                </c:pt>
                <c:pt idx="68">
                  <c:v>35.9</c:v>
                </c:pt>
                <c:pt idx="69">
                  <c:v>41.8</c:v>
                </c:pt>
                <c:pt idx="70">
                  <c:v>33.5</c:v>
                </c:pt>
                <c:pt idx="71">
                  <c:v>39.700000000000003</c:v>
                </c:pt>
                <c:pt idx="72">
                  <c:v>39.6</c:v>
                </c:pt>
                <c:pt idx="73">
                  <c:v>45.8</c:v>
                </c:pt>
                <c:pt idx="74">
                  <c:v>35.5</c:v>
                </c:pt>
                <c:pt idx="75">
                  <c:v>42.8</c:v>
                </c:pt>
                <c:pt idx="76">
                  <c:v>40.9</c:v>
                </c:pt>
                <c:pt idx="77">
                  <c:v>37.200000000000003</c:v>
                </c:pt>
                <c:pt idx="78">
                  <c:v>36.200000000000003</c:v>
                </c:pt>
                <c:pt idx="79">
                  <c:v>42.1</c:v>
                </c:pt>
                <c:pt idx="80">
                  <c:v>34.6</c:v>
                </c:pt>
                <c:pt idx="81">
                  <c:v>42.9</c:v>
                </c:pt>
                <c:pt idx="82">
                  <c:v>36.700000000000003</c:v>
                </c:pt>
                <c:pt idx="83">
                  <c:v>35.1</c:v>
                </c:pt>
                <c:pt idx="84">
                  <c:v>37.299999999999997</c:v>
                </c:pt>
                <c:pt idx="85">
                  <c:v>41.3</c:v>
                </c:pt>
                <c:pt idx="86">
                  <c:v>36.299999999999997</c:v>
                </c:pt>
                <c:pt idx="87">
                  <c:v>36.9</c:v>
                </c:pt>
                <c:pt idx="88">
                  <c:v>38.299999999999997</c:v>
                </c:pt>
                <c:pt idx="89">
                  <c:v>38.9</c:v>
                </c:pt>
                <c:pt idx="90">
                  <c:v>35.700000000000003</c:v>
                </c:pt>
                <c:pt idx="91">
                  <c:v>41.1</c:v>
                </c:pt>
                <c:pt idx="92">
                  <c:v>34</c:v>
                </c:pt>
                <c:pt idx="93">
                  <c:v>39.6</c:v>
                </c:pt>
                <c:pt idx="94">
                  <c:v>36.200000000000003</c:v>
                </c:pt>
                <c:pt idx="95">
                  <c:v>40.799999999999997</c:v>
                </c:pt>
                <c:pt idx="96">
                  <c:v>38.1</c:v>
                </c:pt>
                <c:pt idx="97">
                  <c:v>40.299999999999997</c:v>
                </c:pt>
                <c:pt idx="98">
                  <c:v>33.1</c:v>
                </c:pt>
                <c:pt idx="99">
                  <c:v>43.2</c:v>
                </c:pt>
                <c:pt idx="100">
                  <c:v>35</c:v>
                </c:pt>
                <c:pt idx="101">
                  <c:v>41</c:v>
                </c:pt>
                <c:pt idx="102">
                  <c:v>37.700000000000003</c:v>
                </c:pt>
                <c:pt idx="103">
                  <c:v>37.799999999999997</c:v>
                </c:pt>
                <c:pt idx="104">
                  <c:v>37.9</c:v>
                </c:pt>
                <c:pt idx="105">
                  <c:v>39.700000000000003</c:v>
                </c:pt>
                <c:pt idx="106">
                  <c:v>38.6</c:v>
                </c:pt>
                <c:pt idx="107">
                  <c:v>38.200000000000003</c:v>
                </c:pt>
                <c:pt idx="108">
                  <c:v>38.1</c:v>
                </c:pt>
                <c:pt idx="109">
                  <c:v>43.2</c:v>
                </c:pt>
                <c:pt idx="110">
                  <c:v>38.1</c:v>
                </c:pt>
                <c:pt idx="111">
                  <c:v>45.6</c:v>
                </c:pt>
                <c:pt idx="112">
                  <c:v>39.700000000000003</c:v>
                </c:pt>
                <c:pt idx="113">
                  <c:v>42.2</c:v>
                </c:pt>
                <c:pt idx="114">
                  <c:v>39.6</c:v>
                </c:pt>
                <c:pt idx="115">
                  <c:v>42.7</c:v>
                </c:pt>
                <c:pt idx="116">
                  <c:v>38.6</c:v>
                </c:pt>
                <c:pt idx="117">
                  <c:v>37.299999999999997</c:v>
                </c:pt>
                <c:pt idx="118">
                  <c:v>35.700000000000003</c:v>
                </c:pt>
                <c:pt idx="119">
                  <c:v>41.1</c:v>
                </c:pt>
                <c:pt idx="120">
                  <c:v>36.200000000000003</c:v>
                </c:pt>
                <c:pt idx="121">
                  <c:v>37.700000000000003</c:v>
                </c:pt>
                <c:pt idx="122">
                  <c:v>40.200000000000003</c:v>
                </c:pt>
                <c:pt idx="123">
                  <c:v>41.4</c:v>
                </c:pt>
                <c:pt idx="124">
                  <c:v>35.200000000000003</c:v>
                </c:pt>
                <c:pt idx="125">
                  <c:v>40.6</c:v>
                </c:pt>
                <c:pt idx="126">
                  <c:v>38.799999999999997</c:v>
                </c:pt>
                <c:pt idx="127">
                  <c:v>41.5</c:v>
                </c:pt>
                <c:pt idx="128">
                  <c:v>39</c:v>
                </c:pt>
                <c:pt idx="129">
                  <c:v>44.1</c:v>
                </c:pt>
                <c:pt idx="130">
                  <c:v>38.5</c:v>
                </c:pt>
                <c:pt idx="131">
                  <c:v>43.1</c:v>
                </c:pt>
                <c:pt idx="132">
                  <c:v>36.799999999999997</c:v>
                </c:pt>
                <c:pt idx="133">
                  <c:v>37.5</c:v>
                </c:pt>
                <c:pt idx="134">
                  <c:v>38.1</c:v>
                </c:pt>
                <c:pt idx="135">
                  <c:v>41.1</c:v>
                </c:pt>
                <c:pt idx="136">
                  <c:v>35.6</c:v>
                </c:pt>
                <c:pt idx="137">
                  <c:v>40.200000000000003</c:v>
                </c:pt>
                <c:pt idx="138">
                  <c:v>37</c:v>
                </c:pt>
                <c:pt idx="139">
                  <c:v>39.700000000000003</c:v>
                </c:pt>
                <c:pt idx="140">
                  <c:v>40.200000000000003</c:v>
                </c:pt>
                <c:pt idx="141">
                  <c:v>40.6</c:v>
                </c:pt>
                <c:pt idx="142">
                  <c:v>32.1</c:v>
                </c:pt>
                <c:pt idx="143">
                  <c:v>40.700000000000003</c:v>
                </c:pt>
                <c:pt idx="144">
                  <c:v>37.299999999999997</c:v>
                </c:pt>
                <c:pt idx="145">
                  <c:v>39</c:v>
                </c:pt>
                <c:pt idx="146">
                  <c:v>39.200000000000003</c:v>
                </c:pt>
                <c:pt idx="147">
                  <c:v>36.6</c:v>
                </c:pt>
                <c:pt idx="148">
                  <c:v>36</c:v>
                </c:pt>
                <c:pt idx="149">
                  <c:v>37.799999999999997</c:v>
                </c:pt>
                <c:pt idx="150">
                  <c:v>36</c:v>
                </c:pt>
                <c:pt idx="151">
                  <c:v>41.5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7D13-4F6C-AC8B-2696557528C3}"/>
            </c:ext>
          </c:extLst>
        </c:ser>
        <c:ser>
          <c:idx val="2"/>
          <c:order val="1"/>
          <c:tx>
            <c:v>Chinstrap</c:v>
          </c:tx>
          <c:spPr>
            <a:solidFill>
              <a:srgbClr val="7030A0"/>
            </a:solidFill>
            <a:ln w="25400">
              <a:noFill/>
            </a:ln>
            <a:effectLst/>
          </c:spPr>
          <c:invertIfNegative val="0"/>
          <c:xVal>
            <c:numRef>
              <c:f>Sheet1!$O$2:$O$345</c:f>
              <c:numCache>
                <c:formatCode>General</c:formatCode>
                <c:ptCount val="34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192</c:v>
                </c:pt>
                <c:pt idx="277">
                  <c:v>196</c:v>
                </c:pt>
                <c:pt idx="278">
                  <c:v>193</c:v>
                </c:pt>
                <c:pt idx="279">
                  <c:v>188</c:v>
                </c:pt>
                <c:pt idx="280">
                  <c:v>197</c:v>
                </c:pt>
                <c:pt idx="281">
                  <c:v>198</c:v>
                </c:pt>
                <c:pt idx="282">
                  <c:v>178</c:v>
                </c:pt>
                <c:pt idx="283">
                  <c:v>197</c:v>
                </c:pt>
                <c:pt idx="284">
                  <c:v>195</c:v>
                </c:pt>
                <c:pt idx="285">
                  <c:v>198</c:v>
                </c:pt>
                <c:pt idx="286">
                  <c:v>193</c:v>
                </c:pt>
                <c:pt idx="287">
                  <c:v>194</c:v>
                </c:pt>
                <c:pt idx="288">
                  <c:v>185</c:v>
                </c:pt>
                <c:pt idx="289">
                  <c:v>201</c:v>
                </c:pt>
                <c:pt idx="290">
                  <c:v>190</c:v>
                </c:pt>
                <c:pt idx="291">
                  <c:v>201</c:v>
                </c:pt>
                <c:pt idx="292">
                  <c:v>197</c:v>
                </c:pt>
                <c:pt idx="293">
                  <c:v>181</c:v>
                </c:pt>
                <c:pt idx="294">
                  <c:v>190</c:v>
                </c:pt>
                <c:pt idx="295">
                  <c:v>195</c:v>
                </c:pt>
                <c:pt idx="296">
                  <c:v>181</c:v>
                </c:pt>
                <c:pt idx="297">
                  <c:v>191</c:v>
                </c:pt>
                <c:pt idx="298">
                  <c:v>187</c:v>
                </c:pt>
                <c:pt idx="299">
                  <c:v>193</c:v>
                </c:pt>
                <c:pt idx="300">
                  <c:v>195</c:v>
                </c:pt>
                <c:pt idx="301">
                  <c:v>197</c:v>
                </c:pt>
                <c:pt idx="302">
                  <c:v>200</c:v>
                </c:pt>
                <c:pt idx="303">
                  <c:v>200</c:v>
                </c:pt>
                <c:pt idx="304">
                  <c:v>191</c:v>
                </c:pt>
                <c:pt idx="305">
                  <c:v>205</c:v>
                </c:pt>
                <c:pt idx="306">
                  <c:v>187</c:v>
                </c:pt>
                <c:pt idx="307">
                  <c:v>201</c:v>
                </c:pt>
                <c:pt idx="308">
                  <c:v>187</c:v>
                </c:pt>
                <c:pt idx="309">
                  <c:v>203</c:v>
                </c:pt>
                <c:pt idx="310">
                  <c:v>195</c:v>
                </c:pt>
                <c:pt idx="311">
                  <c:v>199</c:v>
                </c:pt>
                <c:pt idx="312">
                  <c:v>195</c:v>
                </c:pt>
                <c:pt idx="313">
                  <c:v>210</c:v>
                </c:pt>
                <c:pt idx="314">
                  <c:v>192</c:v>
                </c:pt>
                <c:pt idx="315">
                  <c:v>205</c:v>
                </c:pt>
                <c:pt idx="316">
                  <c:v>210</c:v>
                </c:pt>
                <c:pt idx="317">
                  <c:v>187</c:v>
                </c:pt>
                <c:pt idx="318">
                  <c:v>196</c:v>
                </c:pt>
                <c:pt idx="319">
                  <c:v>196</c:v>
                </c:pt>
                <c:pt idx="320">
                  <c:v>196</c:v>
                </c:pt>
                <c:pt idx="321">
                  <c:v>201</c:v>
                </c:pt>
                <c:pt idx="322">
                  <c:v>190</c:v>
                </c:pt>
                <c:pt idx="323">
                  <c:v>212</c:v>
                </c:pt>
                <c:pt idx="324">
                  <c:v>187</c:v>
                </c:pt>
                <c:pt idx="325">
                  <c:v>198</c:v>
                </c:pt>
                <c:pt idx="326">
                  <c:v>199</c:v>
                </c:pt>
                <c:pt idx="327">
                  <c:v>201</c:v>
                </c:pt>
                <c:pt idx="328">
                  <c:v>193</c:v>
                </c:pt>
                <c:pt idx="329">
                  <c:v>203</c:v>
                </c:pt>
                <c:pt idx="330">
                  <c:v>187</c:v>
                </c:pt>
                <c:pt idx="331">
                  <c:v>197</c:v>
                </c:pt>
                <c:pt idx="332">
                  <c:v>191</c:v>
                </c:pt>
                <c:pt idx="333">
                  <c:v>203</c:v>
                </c:pt>
                <c:pt idx="334">
                  <c:v>202</c:v>
                </c:pt>
                <c:pt idx="335">
                  <c:v>194</c:v>
                </c:pt>
                <c:pt idx="336">
                  <c:v>206</c:v>
                </c:pt>
                <c:pt idx="337">
                  <c:v>189</c:v>
                </c:pt>
                <c:pt idx="338">
                  <c:v>195</c:v>
                </c:pt>
                <c:pt idx="339">
                  <c:v>207</c:v>
                </c:pt>
                <c:pt idx="340">
                  <c:v>202</c:v>
                </c:pt>
                <c:pt idx="341">
                  <c:v>193</c:v>
                </c:pt>
                <c:pt idx="342">
                  <c:v>210</c:v>
                </c:pt>
                <c:pt idx="343">
                  <c:v>198</c:v>
                </c:pt>
              </c:numCache>
            </c:numRef>
          </c:xVal>
          <c:yVal>
            <c:numRef>
              <c:f>Sheet1!$P$2:$P$345</c:f>
              <c:numCache>
                <c:formatCode>General</c:formatCode>
                <c:ptCount val="34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3500</c:v>
                </c:pt>
                <c:pt idx="277">
                  <c:v>3900</c:v>
                </c:pt>
                <c:pt idx="278">
                  <c:v>3650</c:v>
                </c:pt>
                <c:pt idx="279">
                  <c:v>3525</c:v>
                </c:pt>
                <c:pt idx="280">
                  <c:v>3725</c:v>
                </c:pt>
                <c:pt idx="281">
                  <c:v>3950</c:v>
                </c:pt>
                <c:pt idx="282">
                  <c:v>3250</c:v>
                </c:pt>
                <c:pt idx="283">
                  <c:v>3750</c:v>
                </c:pt>
                <c:pt idx="284">
                  <c:v>4150</c:v>
                </c:pt>
                <c:pt idx="285">
                  <c:v>3700</c:v>
                </c:pt>
                <c:pt idx="286">
                  <c:v>3800</c:v>
                </c:pt>
                <c:pt idx="287">
                  <c:v>3775</c:v>
                </c:pt>
                <c:pt idx="288">
                  <c:v>3700</c:v>
                </c:pt>
                <c:pt idx="289">
                  <c:v>4050</c:v>
                </c:pt>
                <c:pt idx="290">
                  <c:v>3575</c:v>
                </c:pt>
                <c:pt idx="291">
                  <c:v>4050</c:v>
                </c:pt>
                <c:pt idx="292">
                  <c:v>3300</c:v>
                </c:pt>
                <c:pt idx="293">
                  <c:v>3700</c:v>
                </c:pt>
                <c:pt idx="294">
                  <c:v>3450</c:v>
                </c:pt>
                <c:pt idx="295">
                  <c:v>4400</c:v>
                </c:pt>
                <c:pt idx="296">
                  <c:v>3600</c:v>
                </c:pt>
                <c:pt idx="297">
                  <c:v>3400</c:v>
                </c:pt>
                <c:pt idx="298">
                  <c:v>2900</c:v>
                </c:pt>
                <c:pt idx="299">
                  <c:v>3800</c:v>
                </c:pt>
                <c:pt idx="300">
                  <c:v>3300</c:v>
                </c:pt>
                <c:pt idx="301">
                  <c:v>4150</c:v>
                </c:pt>
                <c:pt idx="302">
                  <c:v>3400</c:v>
                </c:pt>
                <c:pt idx="303">
                  <c:v>3800</c:v>
                </c:pt>
                <c:pt idx="304">
                  <c:v>3700</c:v>
                </c:pt>
                <c:pt idx="305">
                  <c:v>4550</c:v>
                </c:pt>
                <c:pt idx="306">
                  <c:v>3200</c:v>
                </c:pt>
                <c:pt idx="307">
                  <c:v>4300</c:v>
                </c:pt>
                <c:pt idx="308">
                  <c:v>3350</c:v>
                </c:pt>
                <c:pt idx="309">
                  <c:v>4100</c:v>
                </c:pt>
                <c:pt idx="310">
                  <c:v>3600</c:v>
                </c:pt>
                <c:pt idx="311">
                  <c:v>3900</c:v>
                </c:pt>
                <c:pt idx="312">
                  <c:v>3850</c:v>
                </c:pt>
                <c:pt idx="313">
                  <c:v>4800</c:v>
                </c:pt>
                <c:pt idx="314">
                  <c:v>2700</c:v>
                </c:pt>
                <c:pt idx="315">
                  <c:v>4500</c:v>
                </c:pt>
                <c:pt idx="316">
                  <c:v>3950</c:v>
                </c:pt>
                <c:pt idx="317">
                  <c:v>3650</c:v>
                </c:pt>
                <c:pt idx="318">
                  <c:v>3550</c:v>
                </c:pt>
                <c:pt idx="319">
                  <c:v>3500</c:v>
                </c:pt>
                <c:pt idx="320">
                  <c:v>3675</c:v>
                </c:pt>
                <c:pt idx="321">
                  <c:v>4450</c:v>
                </c:pt>
                <c:pt idx="322">
                  <c:v>3400</c:v>
                </c:pt>
                <c:pt idx="323">
                  <c:v>4300</c:v>
                </c:pt>
                <c:pt idx="324">
                  <c:v>3250</c:v>
                </c:pt>
                <c:pt idx="325">
                  <c:v>3675</c:v>
                </c:pt>
                <c:pt idx="326">
                  <c:v>3325</c:v>
                </c:pt>
                <c:pt idx="327">
                  <c:v>3950</c:v>
                </c:pt>
                <c:pt idx="328">
                  <c:v>3600</c:v>
                </c:pt>
                <c:pt idx="329">
                  <c:v>4050</c:v>
                </c:pt>
                <c:pt idx="330">
                  <c:v>3350</c:v>
                </c:pt>
                <c:pt idx="331">
                  <c:v>3450</c:v>
                </c:pt>
                <c:pt idx="332">
                  <c:v>3250</c:v>
                </c:pt>
                <c:pt idx="333">
                  <c:v>4050</c:v>
                </c:pt>
                <c:pt idx="334">
                  <c:v>3800</c:v>
                </c:pt>
                <c:pt idx="335">
                  <c:v>3525</c:v>
                </c:pt>
                <c:pt idx="336">
                  <c:v>3950</c:v>
                </c:pt>
                <c:pt idx="337">
                  <c:v>3650</c:v>
                </c:pt>
                <c:pt idx="338">
                  <c:v>3650</c:v>
                </c:pt>
                <c:pt idx="339">
                  <c:v>4000</c:v>
                </c:pt>
                <c:pt idx="340">
                  <c:v>3400</c:v>
                </c:pt>
                <c:pt idx="341">
                  <c:v>3775</c:v>
                </c:pt>
                <c:pt idx="342">
                  <c:v>4100</c:v>
                </c:pt>
                <c:pt idx="343">
                  <c:v>3775</c:v>
                </c:pt>
              </c:numCache>
            </c:numRef>
          </c:yVal>
          <c:bubbleSize>
            <c:numRef>
              <c:f>Sheet1!$Q$2:$Q$345</c:f>
              <c:numCache>
                <c:formatCode>General</c:formatCode>
                <c:ptCount val="34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46.5</c:v>
                </c:pt>
                <c:pt idx="277">
                  <c:v>50</c:v>
                </c:pt>
                <c:pt idx="278">
                  <c:v>51.3</c:v>
                </c:pt>
                <c:pt idx="279">
                  <c:v>45.4</c:v>
                </c:pt>
                <c:pt idx="280">
                  <c:v>52.7</c:v>
                </c:pt>
                <c:pt idx="281">
                  <c:v>45.2</c:v>
                </c:pt>
                <c:pt idx="282">
                  <c:v>46.1</c:v>
                </c:pt>
                <c:pt idx="283">
                  <c:v>51.3</c:v>
                </c:pt>
                <c:pt idx="284">
                  <c:v>46</c:v>
                </c:pt>
                <c:pt idx="285">
                  <c:v>51.3</c:v>
                </c:pt>
                <c:pt idx="286">
                  <c:v>46.6</c:v>
                </c:pt>
                <c:pt idx="287">
                  <c:v>51.7</c:v>
                </c:pt>
                <c:pt idx="288">
                  <c:v>47</c:v>
                </c:pt>
                <c:pt idx="289">
                  <c:v>52</c:v>
                </c:pt>
                <c:pt idx="290">
                  <c:v>45.9</c:v>
                </c:pt>
                <c:pt idx="291">
                  <c:v>50.5</c:v>
                </c:pt>
                <c:pt idx="292">
                  <c:v>50.3</c:v>
                </c:pt>
                <c:pt idx="293">
                  <c:v>58</c:v>
                </c:pt>
                <c:pt idx="294">
                  <c:v>46.4</c:v>
                </c:pt>
                <c:pt idx="295">
                  <c:v>49.2</c:v>
                </c:pt>
                <c:pt idx="296">
                  <c:v>42.4</c:v>
                </c:pt>
                <c:pt idx="297">
                  <c:v>48.5</c:v>
                </c:pt>
                <c:pt idx="298">
                  <c:v>43.2</c:v>
                </c:pt>
                <c:pt idx="299">
                  <c:v>50.6</c:v>
                </c:pt>
                <c:pt idx="300">
                  <c:v>46.7</c:v>
                </c:pt>
                <c:pt idx="301">
                  <c:v>52</c:v>
                </c:pt>
                <c:pt idx="302">
                  <c:v>50.5</c:v>
                </c:pt>
                <c:pt idx="303">
                  <c:v>49.5</c:v>
                </c:pt>
                <c:pt idx="304">
                  <c:v>46.4</c:v>
                </c:pt>
                <c:pt idx="305">
                  <c:v>52.8</c:v>
                </c:pt>
                <c:pt idx="306">
                  <c:v>40.9</c:v>
                </c:pt>
                <c:pt idx="307">
                  <c:v>54.2</c:v>
                </c:pt>
                <c:pt idx="308">
                  <c:v>42.5</c:v>
                </c:pt>
                <c:pt idx="309">
                  <c:v>51</c:v>
                </c:pt>
                <c:pt idx="310">
                  <c:v>49.7</c:v>
                </c:pt>
                <c:pt idx="311">
                  <c:v>47.5</c:v>
                </c:pt>
                <c:pt idx="312">
                  <c:v>47.6</c:v>
                </c:pt>
                <c:pt idx="313">
                  <c:v>52</c:v>
                </c:pt>
                <c:pt idx="314">
                  <c:v>46.9</c:v>
                </c:pt>
                <c:pt idx="315">
                  <c:v>53.5</c:v>
                </c:pt>
                <c:pt idx="316">
                  <c:v>49</c:v>
                </c:pt>
                <c:pt idx="317">
                  <c:v>46.2</c:v>
                </c:pt>
                <c:pt idx="318">
                  <c:v>50.9</c:v>
                </c:pt>
                <c:pt idx="319">
                  <c:v>45.5</c:v>
                </c:pt>
                <c:pt idx="320">
                  <c:v>50.9</c:v>
                </c:pt>
                <c:pt idx="321">
                  <c:v>50.8</c:v>
                </c:pt>
                <c:pt idx="322">
                  <c:v>50.1</c:v>
                </c:pt>
                <c:pt idx="323">
                  <c:v>49</c:v>
                </c:pt>
                <c:pt idx="324">
                  <c:v>51.5</c:v>
                </c:pt>
                <c:pt idx="325">
                  <c:v>49.8</c:v>
                </c:pt>
                <c:pt idx="326">
                  <c:v>48.1</c:v>
                </c:pt>
                <c:pt idx="327">
                  <c:v>51.4</c:v>
                </c:pt>
                <c:pt idx="328">
                  <c:v>45.7</c:v>
                </c:pt>
                <c:pt idx="329">
                  <c:v>50.7</c:v>
                </c:pt>
                <c:pt idx="330">
                  <c:v>42.5</c:v>
                </c:pt>
                <c:pt idx="331">
                  <c:v>52.2</c:v>
                </c:pt>
                <c:pt idx="332">
                  <c:v>45.2</c:v>
                </c:pt>
                <c:pt idx="333">
                  <c:v>49.3</c:v>
                </c:pt>
                <c:pt idx="334">
                  <c:v>50.2</c:v>
                </c:pt>
                <c:pt idx="335">
                  <c:v>45.6</c:v>
                </c:pt>
                <c:pt idx="336">
                  <c:v>51.9</c:v>
                </c:pt>
                <c:pt idx="337">
                  <c:v>46.8</c:v>
                </c:pt>
                <c:pt idx="338">
                  <c:v>45.7</c:v>
                </c:pt>
                <c:pt idx="339">
                  <c:v>55.8</c:v>
                </c:pt>
                <c:pt idx="340">
                  <c:v>43.5</c:v>
                </c:pt>
                <c:pt idx="341">
                  <c:v>49.6</c:v>
                </c:pt>
                <c:pt idx="342">
                  <c:v>50.8</c:v>
                </c:pt>
                <c:pt idx="343">
                  <c:v>50.2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7-7D13-4F6C-AC8B-2696557528C3}"/>
            </c:ext>
          </c:extLst>
        </c:ser>
        <c:ser>
          <c:idx val="5"/>
          <c:order val="2"/>
          <c:tx>
            <c:v>Gentoo</c:v>
          </c:tx>
          <c:spPr>
            <a:solidFill>
              <a:srgbClr val="00B0F0"/>
            </a:solidFill>
            <a:ln w="25400">
              <a:noFill/>
            </a:ln>
            <a:effectLst/>
          </c:spPr>
          <c:invertIfNegative val="0"/>
          <c:xVal>
            <c:numRef>
              <c:f>Sheet1!$R$2:$R$345</c:f>
              <c:numCache>
                <c:formatCode>General</c:formatCode>
                <c:ptCount val="34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211</c:v>
                </c:pt>
                <c:pt idx="153">
                  <c:v>230</c:v>
                </c:pt>
                <c:pt idx="154">
                  <c:v>210</c:v>
                </c:pt>
                <c:pt idx="155">
                  <c:v>218</c:v>
                </c:pt>
                <c:pt idx="156">
                  <c:v>215</c:v>
                </c:pt>
                <c:pt idx="157">
                  <c:v>210</c:v>
                </c:pt>
                <c:pt idx="158">
                  <c:v>211</c:v>
                </c:pt>
                <c:pt idx="159">
                  <c:v>219</c:v>
                </c:pt>
                <c:pt idx="160">
                  <c:v>209</c:v>
                </c:pt>
                <c:pt idx="161">
                  <c:v>215</c:v>
                </c:pt>
                <c:pt idx="162">
                  <c:v>214</c:v>
                </c:pt>
                <c:pt idx="163">
                  <c:v>216</c:v>
                </c:pt>
                <c:pt idx="164">
                  <c:v>214</c:v>
                </c:pt>
                <c:pt idx="165">
                  <c:v>213</c:v>
                </c:pt>
                <c:pt idx="166">
                  <c:v>210</c:v>
                </c:pt>
                <c:pt idx="167">
                  <c:v>217</c:v>
                </c:pt>
                <c:pt idx="168">
                  <c:v>210</c:v>
                </c:pt>
                <c:pt idx="169">
                  <c:v>221</c:v>
                </c:pt>
                <c:pt idx="170">
                  <c:v>209</c:v>
                </c:pt>
                <c:pt idx="171">
                  <c:v>222</c:v>
                </c:pt>
                <c:pt idx="172">
                  <c:v>218</c:v>
                </c:pt>
                <c:pt idx="173">
                  <c:v>215</c:v>
                </c:pt>
                <c:pt idx="174">
                  <c:v>213</c:v>
                </c:pt>
                <c:pt idx="175">
                  <c:v>215</c:v>
                </c:pt>
                <c:pt idx="176">
                  <c:v>215</c:v>
                </c:pt>
                <c:pt idx="177">
                  <c:v>215</c:v>
                </c:pt>
                <c:pt idx="178">
                  <c:v>216</c:v>
                </c:pt>
                <c:pt idx="179">
                  <c:v>215</c:v>
                </c:pt>
                <c:pt idx="180">
                  <c:v>210</c:v>
                </c:pt>
                <c:pt idx="181">
                  <c:v>220</c:v>
                </c:pt>
                <c:pt idx="182">
                  <c:v>222</c:v>
                </c:pt>
                <c:pt idx="183">
                  <c:v>209</c:v>
                </c:pt>
                <c:pt idx="184">
                  <c:v>207</c:v>
                </c:pt>
                <c:pt idx="185">
                  <c:v>230</c:v>
                </c:pt>
                <c:pt idx="186">
                  <c:v>220</c:v>
                </c:pt>
                <c:pt idx="187">
                  <c:v>220</c:v>
                </c:pt>
                <c:pt idx="188">
                  <c:v>213</c:v>
                </c:pt>
                <c:pt idx="189">
                  <c:v>219</c:v>
                </c:pt>
                <c:pt idx="190">
                  <c:v>208</c:v>
                </c:pt>
                <c:pt idx="191">
                  <c:v>208</c:v>
                </c:pt>
                <c:pt idx="192">
                  <c:v>208</c:v>
                </c:pt>
                <c:pt idx="193">
                  <c:v>225</c:v>
                </c:pt>
                <c:pt idx="194">
                  <c:v>210</c:v>
                </c:pt>
                <c:pt idx="195">
                  <c:v>216</c:v>
                </c:pt>
                <c:pt idx="196">
                  <c:v>222</c:v>
                </c:pt>
                <c:pt idx="197">
                  <c:v>217</c:v>
                </c:pt>
                <c:pt idx="198">
                  <c:v>210</c:v>
                </c:pt>
                <c:pt idx="199">
                  <c:v>225</c:v>
                </c:pt>
                <c:pt idx="200">
                  <c:v>213</c:v>
                </c:pt>
                <c:pt idx="201">
                  <c:v>215</c:v>
                </c:pt>
                <c:pt idx="202">
                  <c:v>210</c:v>
                </c:pt>
                <c:pt idx="203">
                  <c:v>220</c:v>
                </c:pt>
                <c:pt idx="204">
                  <c:v>210</c:v>
                </c:pt>
                <c:pt idx="205">
                  <c:v>225</c:v>
                </c:pt>
                <c:pt idx="206">
                  <c:v>217</c:v>
                </c:pt>
                <c:pt idx="207">
                  <c:v>220</c:v>
                </c:pt>
                <c:pt idx="208">
                  <c:v>208</c:v>
                </c:pt>
                <c:pt idx="209">
                  <c:v>220</c:v>
                </c:pt>
                <c:pt idx="210">
                  <c:v>208</c:v>
                </c:pt>
                <c:pt idx="211">
                  <c:v>224</c:v>
                </c:pt>
                <c:pt idx="212">
                  <c:v>208</c:v>
                </c:pt>
                <c:pt idx="213">
                  <c:v>221</c:v>
                </c:pt>
                <c:pt idx="214">
                  <c:v>214</c:v>
                </c:pt>
                <c:pt idx="215">
                  <c:v>231</c:v>
                </c:pt>
                <c:pt idx="216">
                  <c:v>219</c:v>
                </c:pt>
                <c:pt idx="217">
                  <c:v>230</c:v>
                </c:pt>
                <c:pt idx="218">
                  <c:v>214</c:v>
                </c:pt>
                <c:pt idx="219">
                  <c:v>229</c:v>
                </c:pt>
                <c:pt idx="220">
                  <c:v>220</c:v>
                </c:pt>
                <c:pt idx="221">
                  <c:v>223</c:v>
                </c:pt>
                <c:pt idx="222">
                  <c:v>216</c:v>
                </c:pt>
                <c:pt idx="223">
                  <c:v>221</c:v>
                </c:pt>
                <c:pt idx="224">
                  <c:v>221</c:v>
                </c:pt>
                <c:pt idx="225">
                  <c:v>217</c:v>
                </c:pt>
                <c:pt idx="226">
                  <c:v>216</c:v>
                </c:pt>
                <c:pt idx="227">
                  <c:v>230</c:v>
                </c:pt>
                <c:pt idx="228">
                  <c:v>209</c:v>
                </c:pt>
                <c:pt idx="229">
                  <c:v>220</c:v>
                </c:pt>
                <c:pt idx="230">
                  <c:v>215</c:v>
                </c:pt>
                <c:pt idx="231">
                  <c:v>223</c:v>
                </c:pt>
                <c:pt idx="232">
                  <c:v>212</c:v>
                </c:pt>
                <c:pt idx="233">
                  <c:v>221</c:v>
                </c:pt>
                <c:pt idx="234">
                  <c:v>212</c:v>
                </c:pt>
                <c:pt idx="235">
                  <c:v>224</c:v>
                </c:pt>
                <c:pt idx="236">
                  <c:v>212</c:v>
                </c:pt>
                <c:pt idx="237">
                  <c:v>228</c:v>
                </c:pt>
                <c:pt idx="238">
                  <c:v>218</c:v>
                </c:pt>
                <c:pt idx="239">
                  <c:v>218</c:v>
                </c:pt>
                <c:pt idx="240">
                  <c:v>212</c:v>
                </c:pt>
                <c:pt idx="241">
                  <c:v>230</c:v>
                </c:pt>
                <c:pt idx="242">
                  <c:v>218</c:v>
                </c:pt>
                <c:pt idx="243">
                  <c:v>228</c:v>
                </c:pt>
                <c:pt idx="244">
                  <c:v>212</c:v>
                </c:pt>
                <c:pt idx="245">
                  <c:v>224</c:v>
                </c:pt>
                <c:pt idx="246">
                  <c:v>214</c:v>
                </c:pt>
                <c:pt idx="247">
                  <c:v>226</c:v>
                </c:pt>
                <c:pt idx="248">
                  <c:v>216</c:v>
                </c:pt>
                <c:pt idx="249">
                  <c:v>222</c:v>
                </c:pt>
                <c:pt idx="250">
                  <c:v>203</c:v>
                </c:pt>
                <c:pt idx="251">
                  <c:v>225</c:v>
                </c:pt>
                <c:pt idx="252">
                  <c:v>219</c:v>
                </c:pt>
                <c:pt idx="253">
                  <c:v>228</c:v>
                </c:pt>
                <c:pt idx="254">
                  <c:v>215</c:v>
                </c:pt>
                <c:pt idx="255">
                  <c:v>228</c:v>
                </c:pt>
                <c:pt idx="256">
                  <c:v>216</c:v>
                </c:pt>
                <c:pt idx="257">
                  <c:v>215</c:v>
                </c:pt>
                <c:pt idx="258">
                  <c:v>210</c:v>
                </c:pt>
                <c:pt idx="259">
                  <c:v>219</c:v>
                </c:pt>
                <c:pt idx="260">
                  <c:v>208</c:v>
                </c:pt>
                <c:pt idx="261">
                  <c:v>209</c:v>
                </c:pt>
                <c:pt idx="262">
                  <c:v>216</c:v>
                </c:pt>
                <c:pt idx="263">
                  <c:v>229</c:v>
                </c:pt>
                <c:pt idx="264">
                  <c:v>213</c:v>
                </c:pt>
                <c:pt idx="265">
                  <c:v>230</c:v>
                </c:pt>
                <c:pt idx="266">
                  <c:v>217</c:v>
                </c:pt>
                <c:pt idx="267">
                  <c:v>230</c:v>
                </c:pt>
                <c:pt idx="268">
                  <c:v>217</c:v>
                </c:pt>
                <c:pt idx="269">
                  <c:v>222</c:v>
                </c:pt>
                <c:pt idx="270">
                  <c:v>214</c:v>
                </c:pt>
                <c:pt idx="271">
                  <c:v>#N/A</c:v>
                </c:pt>
                <c:pt idx="272">
                  <c:v>215</c:v>
                </c:pt>
                <c:pt idx="273">
                  <c:v>222</c:v>
                </c:pt>
                <c:pt idx="274">
                  <c:v>212</c:v>
                </c:pt>
                <c:pt idx="275">
                  <c:v>213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</c:numCache>
            </c:numRef>
          </c:xVal>
          <c:yVal>
            <c:numRef>
              <c:f>Sheet1!$S$2:$S$345</c:f>
              <c:numCache>
                <c:formatCode>General</c:formatCode>
                <c:ptCount val="34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4500</c:v>
                </c:pt>
                <c:pt idx="153">
                  <c:v>5700</c:v>
                </c:pt>
                <c:pt idx="154">
                  <c:v>4450</c:v>
                </c:pt>
                <c:pt idx="155">
                  <c:v>5700</c:v>
                </c:pt>
                <c:pt idx="156">
                  <c:v>5400</c:v>
                </c:pt>
                <c:pt idx="157">
                  <c:v>4550</c:v>
                </c:pt>
                <c:pt idx="158">
                  <c:v>4800</c:v>
                </c:pt>
                <c:pt idx="159">
                  <c:v>5200</c:v>
                </c:pt>
                <c:pt idx="160">
                  <c:v>4400</c:v>
                </c:pt>
                <c:pt idx="161">
                  <c:v>5150</c:v>
                </c:pt>
                <c:pt idx="162">
                  <c:v>4650</c:v>
                </c:pt>
                <c:pt idx="163">
                  <c:v>5550</c:v>
                </c:pt>
                <c:pt idx="164">
                  <c:v>4650</c:v>
                </c:pt>
                <c:pt idx="165">
                  <c:v>5850</c:v>
                </c:pt>
                <c:pt idx="166">
                  <c:v>4200</c:v>
                </c:pt>
                <c:pt idx="167">
                  <c:v>5850</c:v>
                </c:pt>
                <c:pt idx="168">
                  <c:v>4150</c:v>
                </c:pt>
                <c:pt idx="169">
                  <c:v>6300</c:v>
                </c:pt>
                <c:pt idx="170">
                  <c:v>4800</c:v>
                </c:pt>
                <c:pt idx="171">
                  <c:v>5350</c:v>
                </c:pt>
                <c:pt idx="172">
                  <c:v>5700</c:v>
                </c:pt>
                <c:pt idx="173">
                  <c:v>5000</c:v>
                </c:pt>
                <c:pt idx="174">
                  <c:v>4400</c:v>
                </c:pt>
                <c:pt idx="175">
                  <c:v>5050</c:v>
                </c:pt>
                <c:pt idx="176">
                  <c:v>5000</c:v>
                </c:pt>
                <c:pt idx="177">
                  <c:v>5100</c:v>
                </c:pt>
                <c:pt idx="178">
                  <c:v>4100</c:v>
                </c:pt>
                <c:pt idx="179">
                  <c:v>5650</c:v>
                </c:pt>
                <c:pt idx="180">
                  <c:v>4600</c:v>
                </c:pt>
                <c:pt idx="181">
                  <c:v>5550</c:v>
                </c:pt>
                <c:pt idx="182">
                  <c:v>5250</c:v>
                </c:pt>
                <c:pt idx="183">
                  <c:v>4700</c:v>
                </c:pt>
                <c:pt idx="184">
                  <c:v>5050</c:v>
                </c:pt>
                <c:pt idx="185">
                  <c:v>6050</c:v>
                </c:pt>
                <c:pt idx="186">
                  <c:v>5150</c:v>
                </c:pt>
                <c:pt idx="187">
                  <c:v>5400</c:v>
                </c:pt>
                <c:pt idx="188">
                  <c:v>4950</c:v>
                </c:pt>
                <c:pt idx="189">
                  <c:v>5250</c:v>
                </c:pt>
                <c:pt idx="190">
                  <c:v>4350</c:v>
                </c:pt>
                <c:pt idx="191">
                  <c:v>5350</c:v>
                </c:pt>
                <c:pt idx="192">
                  <c:v>3950</c:v>
                </c:pt>
                <c:pt idx="193">
                  <c:v>5700</c:v>
                </c:pt>
                <c:pt idx="194">
                  <c:v>4300</c:v>
                </c:pt>
                <c:pt idx="195">
                  <c:v>4750</c:v>
                </c:pt>
                <c:pt idx="196">
                  <c:v>5550</c:v>
                </c:pt>
                <c:pt idx="197">
                  <c:v>4900</c:v>
                </c:pt>
                <c:pt idx="198">
                  <c:v>4200</c:v>
                </c:pt>
                <c:pt idx="199">
                  <c:v>5400</c:v>
                </c:pt>
                <c:pt idx="200">
                  <c:v>5100</c:v>
                </c:pt>
                <c:pt idx="201">
                  <c:v>5300</c:v>
                </c:pt>
                <c:pt idx="202">
                  <c:v>4850</c:v>
                </c:pt>
                <c:pt idx="203">
                  <c:v>5300</c:v>
                </c:pt>
                <c:pt idx="204">
                  <c:v>4400</c:v>
                </c:pt>
                <c:pt idx="205">
                  <c:v>5000</c:v>
                </c:pt>
                <c:pt idx="206">
                  <c:v>4900</c:v>
                </c:pt>
                <c:pt idx="207">
                  <c:v>5050</c:v>
                </c:pt>
                <c:pt idx="208">
                  <c:v>4300</c:v>
                </c:pt>
                <c:pt idx="209">
                  <c:v>5000</c:v>
                </c:pt>
                <c:pt idx="210">
                  <c:v>4450</c:v>
                </c:pt>
                <c:pt idx="211">
                  <c:v>5550</c:v>
                </c:pt>
                <c:pt idx="212">
                  <c:v>4200</c:v>
                </c:pt>
                <c:pt idx="213">
                  <c:v>5300</c:v>
                </c:pt>
                <c:pt idx="214">
                  <c:v>4400</c:v>
                </c:pt>
                <c:pt idx="215">
                  <c:v>5650</c:v>
                </c:pt>
                <c:pt idx="216">
                  <c:v>4700</c:v>
                </c:pt>
                <c:pt idx="217">
                  <c:v>5700</c:v>
                </c:pt>
                <c:pt idx="218">
                  <c:v>4650</c:v>
                </c:pt>
                <c:pt idx="219">
                  <c:v>5800</c:v>
                </c:pt>
                <c:pt idx="220">
                  <c:v>4700</c:v>
                </c:pt>
                <c:pt idx="221">
                  <c:v>5550</c:v>
                </c:pt>
                <c:pt idx="222">
                  <c:v>4750</c:v>
                </c:pt>
                <c:pt idx="223">
                  <c:v>5000</c:v>
                </c:pt>
                <c:pt idx="224">
                  <c:v>5100</c:v>
                </c:pt>
                <c:pt idx="225">
                  <c:v>5200</c:v>
                </c:pt>
                <c:pt idx="226">
                  <c:v>4700</c:v>
                </c:pt>
                <c:pt idx="227">
                  <c:v>5800</c:v>
                </c:pt>
                <c:pt idx="228">
                  <c:v>4600</c:v>
                </c:pt>
                <c:pt idx="229">
                  <c:v>6000</c:v>
                </c:pt>
                <c:pt idx="230">
                  <c:v>4750</c:v>
                </c:pt>
                <c:pt idx="231">
                  <c:v>5950</c:v>
                </c:pt>
                <c:pt idx="232">
                  <c:v>4625</c:v>
                </c:pt>
                <c:pt idx="233">
                  <c:v>5450</c:v>
                </c:pt>
                <c:pt idx="234">
                  <c:v>4725</c:v>
                </c:pt>
                <c:pt idx="235">
                  <c:v>5350</c:v>
                </c:pt>
                <c:pt idx="236">
                  <c:v>4750</c:v>
                </c:pt>
                <c:pt idx="237">
                  <c:v>5600</c:v>
                </c:pt>
                <c:pt idx="238">
                  <c:v>4600</c:v>
                </c:pt>
                <c:pt idx="239">
                  <c:v>5300</c:v>
                </c:pt>
                <c:pt idx="240">
                  <c:v>4875</c:v>
                </c:pt>
                <c:pt idx="241">
                  <c:v>5550</c:v>
                </c:pt>
                <c:pt idx="242">
                  <c:v>4950</c:v>
                </c:pt>
                <c:pt idx="243">
                  <c:v>5400</c:v>
                </c:pt>
                <c:pt idx="244">
                  <c:v>4750</c:v>
                </c:pt>
                <c:pt idx="245">
                  <c:v>5650</c:v>
                </c:pt>
                <c:pt idx="246">
                  <c:v>4850</c:v>
                </c:pt>
                <c:pt idx="247">
                  <c:v>5200</c:v>
                </c:pt>
                <c:pt idx="248">
                  <c:v>4925</c:v>
                </c:pt>
                <c:pt idx="249">
                  <c:v>4875</c:v>
                </c:pt>
                <c:pt idx="250">
                  <c:v>4625</c:v>
                </c:pt>
                <c:pt idx="251">
                  <c:v>5250</c:v>
                </c:pt>
                <c:pt idx="252">
                  <c:v>4850</c:v>
                </c:pt>
                <c:pt idx="253">
                  <c:v>5600</c:v>
                </c:pt>
                <c:pt idx="254">
                  <c:v>4975</c:v>
                </c:pt>
                <c:pt idx="255">
                  <c:v>5500</c:v>
                </c:pt>
                <c:pt idx="256">
                  <c:v>4725</c:v>
                </c:pt>
                <c:pt idx="257">
                  <c:v>5500</c:v>
                </c:pt>
                <c:pt idx="258">
                  <c:v>4700</c:v>
                </c:pt>
                <c:pt idx="259">
                  <c:v>5500</c:v>
                </c:pt>
                <c:pt idx="260">
                  <c:v>4575</c:v>
                </c:pt>
                <c:pt idx="261">
                  <c:v>5500</c:v>
                </c:pt>
                <c:pt idx="262">
                  <c:v>5000</c:v>
                </c:pt>
                <c:pt idx="263">
                  <c:v>5950</c:v>
                </c:pt>
                <c:pt idx="264">
                  <c:v>4650</c:v>
                </c:pt>
                <c:pt idx="265">
                  <c:v>5500</c:v>
                </c:pt>
                <c:pt idx="266">
                  <c:v>4375</c:v>
                </c:pt>
                <c:pt idx="267">
                  <c:v>5850</c:v>
                </c:pt>
                <c:pt idx="268">
                  <c:v>4875</c:v>
                </c:pt>
                <c:pt idx="269">
                  <c:v>6000</c:v>
                </c:pt>
                <c:pt idx="270">
                  <c:v>4925</c:v>
                </c:pt>
                <c:pt idx="271">
                  <c:v>#N/A</c:v>
                </c:pt>
                <c:pt idx="272">
                  <c:v>4850</c:v>
                </c:pt>
                <c:pt idx="273">
                  <c:v>5750</c:v>
                </c:pt>
                <c:pt idx="274">
                  <c:v>5200</c:v>
                </c:pt>
                <c:pt idx="275">
                  <c:v>5400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</c:numCache>
            </c:numRef>
          </c:yVal>
          <c:bubbleSize>
            <c:numRef>
              <c:f>Sheet1!$T$2:$T$345</c:f>
              <c:numCache>
                <c:formatCode>General</c:formatCode>
                <c:ptCount val="34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46.1</c:v>
                </c:pt>
                <c:pt idx="153">
                  <c:v>50</c:v>
                </c:pt>
                <c:pt idx="154">
                  <c:v>48.7</c:v>
                </c:pt>
                <c:pt idx="155">
                  <c:v>50</c:v>
                </c:pt>
                <c:pt idx="156">
                  <c:v>47.6</c:v>
                </c:pt>
                <c:pt idx="157">
                  <c:v>46.5</c:v>
                </c:pt>
                <c:pt idx="158">
                  <c:v>45.4</c:v>
                </c:pt>
                <c:pt idx="159">
                  <c:v>46.7</c:v>
                </c:pt>
                <c:pt idx="160">
                  <c:v>43.3</c:v>
                </c:pt>
                <c:pt idx="161">
                  <c:v>46.8</c:v>
                </c:pt>
                <c:pt idx="162">
                  <c:v>40.9</c:v>
                </c:pt>
                <c:pt idx="163">
                  <c:v>49</c:v>
                </c:pt>
                <c:pt idx="164">
                  <c:v>45.5</c:v>
                </c:pt>
                <c:pt idx="165">
                  <c:v>48.4</c:v>
                </c:pt>
                <c:pt idx="166">
                  <c:v>45.8</c:v>
                </c:pt>
                <c:pt idx="167">
                  <c:v>49.3</c:v>
                </c:pt>
                <c:pt idx="168">
                  <c:v>42</c:v>
                </c:pt>
                <c:pt idx="169">
                  <c:v>49.2</c:v>
                </c:pt>
                <c:pt idx="170">
                  <c:v>46.2</c:v>
                </c:pt>
                <c:pt idx="171">
                  <c:v>48.7</c:v>
                </c:pt>
                <c:pt idx="172">
                  <c:v>50.2</c:v>
                </c:pt>
                <c:pt idx="173">
                  <c:v>45.1</c:v>
                </c:pt>
                <c:pt idx="174">
                  <c:v>46.5</c:v>
                </c:pt>
                <c:pt idx="175">
                  <c:v>46.3</c:v>
                </c:pt>
                <c:pt idx="176">
                  <c:v>42.9</c:v>
                </c:pt>
                <c:pt idx="177">
                  <c:v>46.1</c:v>
                </c:pt>
                <c:pt idx="178">
                  <c:v>44.5</c:v>
                </c:pt>
                <c:pt idx="179">
                  <c:v>47.8</c:v>
                </c:pt>
                <c:pt idx="180">
                  <c:v>48.2</c:v>
                </c:pt>
                <c:pt idx="181">
                  <c:v>50</c:v>
                </c:pt>
                <c:pt idx="182">
                  <c:v>47.3</c:v>
                </c:pt>
                <c:pt idx="183">
                  <c:v>42.8</c:v>
                </c:pt>
                <c:pt idx="184">
                  <c:v>45.1</c:v>
                </c:pt>
                <c:pt idx="185">
                  <c:v>59.6</c:v>
                </c:pt>
                <c:pt idx="186">
                  <c:v>49.1</c:v>
                </c:pt>
                <c:pt idx="187">
                  <c:v>48.4</c:v>
                </c:pt>
                <c:pt idx="188">
                  <c:v>42.6</c:v>
                </c:pt>
                <c:pt idx="189">
                  <c:v>44.4</c:v>
                </c:pt>
                <c:pt idx="190">
                  <c:v>44</c:v>
                </c:pt>
                <c:pt idx="191">
                  <c:v>48.7</c:v>
                </c:pt>
                <c:pt idx="192">
                  <c:v>42.7</c:v>
                </c:pt>
                <c:pt idx="193">
                  <c:v>49.6</c:v>
                </c:pt>
                <c:pt idx="194">
                  <c:v>45.3</c:v>
                </c:pt>
                <c:pt idx="195">
                  <c:v>49.6</c:v>
                </c:pt>
                <c:pt idx="196">
                  <c:v>50.5</c:v>
                </c:pt>
                <c:pt idx="197">
                  <c:v>43.6</c:v>
                </c:pt>
                <c:pt idx="198">
                  <c:v>45.5</c:v>
                </c:pt>
                <c:pt idx="199">
                  <c:v>50.5</c:v>
                </c:pt>
                <c:pt idx="200">
                  <c:v>44.9</c:v>
                </c:pt>
                <c:pt idx="201">
                  <c:v>45.2</c:v>
                </c:pt>
                <c:pt idx="202">
                  <c:v>46.6</c:v>
                </c:pt>
                <c:pt idx="203">
                  <c:v>48.5</c:v>
                </c:pt>
                <c:pt idx="204">
                  <c:v>45.1</c:v>
                </c:pt>
                <c:pt idx="205">
                  <c:v>50.1</c:v>
                </c:pt>
                <c:pt idx="206">
                  <c:v>46.5</c:v>
                </c:pt>
                <c:pt idx="207">
                  <c:v>45</c:v>
                </c:pt>
                <c:pt idx="208">
                  <c:v>43.8</c:v>
                </c:pt>
                <c:pt idx="209">
                  <c:v>45.5</c:v>
                </c:pt>
                <c:pt idx="210">
                  <c:v>43.2</c:v>
                </c:pt>
                <c:pt idx="211">
                  <c:v>50.4</c:v>
                </c:pt>
                <c:pt idx="212">
                  <c:v>45.3</c:v>
                </c:pt>
                <c:pt idx="213">
                  <c:v>46.2</c:v>
                </c:pt>
                <c:pt idx="214">
                  <c:v>45.7</c:v>
                </c:pt>
                <c:pt idx="215">
                  <c:v>54.3</c:v>
                </c:pt>
                <c:pt idx="216">
                  <c:v>45.8</c:v>
                </c:pt>
                <c:pt idx="217">
                  <c:v>49.8</c:v>
                </c:pt>
                <c:pt idx="218">
                  <c:v>46.2</c:v>
                </c:pt>
                <c:pt idx="219">
                  <c:v>49.5</c:v>
                </c:pt>
                <c:pt idx="220">
                  <c:v>43.5</c:v>
                </c:pt>
                <c:pt idx="221">
                  <c:v>50.7</c:v>
                </c:pt>
                <c:pt idx="222">
                  <c:v>47.7</c:v>
                </c:pt>
                <c:pt idx="223">
                  <c:v>46.4</c:v>
                </c:pt>
                <c:pt idx="224">
                  <c:v>48.2</c:v>
                </c:pt>
                <c:pt idx="225">
                  <c:v>46.5</c:v>
                </c:pt>
                <c:pt idx="226">
                  <c:v>46.4</c:v>
                </c:pt>
                <c:pt idx="227">
                  <c:v>48.6</c:v>
                </c:pt>
                <c:pt idx="228">
                  <c:v>47.5</c:v>
                </c:pt>
                <c:pt idx="229">
                  <c:v>51.1</c:v>
                </c:pt>
                <c:pt idx="230">
                  <c:v>45.2</c:v>
                </c:pt>
                <c:pt idx="231">
                  <c:v>45.2</c:v>
                </c:pt>
                <c:pt idx="232">
                  <c:v>49.1</c:v>
                </c:pt>
                <c:pt idx="233">
                  <c:v>52.5</c:v>
                </c:pt>
                <c:pt idx="234">
                  <c:v>47.4</c:v>
                </c:pt>
                <c:pt idx="235">
                  <c:v>50</c:v>
                </c:pt>
                <c:pt idx="236">
                  <c:v>44.9</c:v>
                </c:pt>
                <c:pt idx="237">
                  <c:v>50.8</c:v>
                </c:pt>
                <c:pt idx="238">
                  <c:v>43.4</c:v>
                </c:pt>
                <c:pt idx="239">
                  <c:v>51.3</c:v>
                </c:pt>
                <c:pt idx="240">
                  <c:v>47.5</c:v>
                </c:pt>
                <c:pt idx="241">
                  <c:v>52.1</c:v>
                </c:pt>
                <c:pt idx="242">
                  <c:v>47.5</c:v>
                </c:pt>
                <c:pt idx="243">
                  <c:v>52.2</c:v>
                </c:pt>
                <c:pt idx="244">
                  <c:v>45.5</c:v>
                </c:pt>
                <c:pt idx="245">
                  <c:v>49.5</c:v>
                </c:pt>
                <c:pt idx="246">
                  <c:v>44.5</c:v>
                </c:pt>
                <c:pt idx="247">
                  <c:v>50.8</c:v>
                </c:pt>
                <c:pt idx="248">
                  <c:v>49.4</c:v>
                </c:pt>
                <c:pt idx="249">
                  <c:v>46.9</c:v>
                </c:pt>
                <c:pt idx="250">
                  <c:v>48.4</c:v>
                </c:pt>
                <c:pt idx="251">
                  <c:v>51.1</c:v>
                </c:pt>
                <c:pt idx="252">
                  <c:v>48.5</c:v>
                </c:pt>
                <c:pt idx="253">
                  <c:v>55.9</c:v>
                </c:pt>
                <c:pt idx="254">
                  <c:v>47.2</c:v>
                </c:pt>
                <c:pt idx="255">
                  <c:v>49.1</c:v>
                </c:pt>
                <c:pt idx="256">
                  <c:v>47.3</c:v>
                </c:pt>
                <c:pt idx="257">
                  <c:v>46.8</c:v>
                </c:pt>
                <c:pt idx="258">
                  <c:v>41.7</c:v>
                </c:pt>
                <c:pt idx="259">
                  <c:v>53.4</c:v>
                </c:pt>
                <c:pt idx="260">
                  <c:v>43.3</c:v>
                </c:pt>
                <c:pt idx="261">
                  <c:v>48.1</c:v>
                </c:pt>
                <c:pt idx="262">
                  <c:v>50.5</c:v>
                </c:pt>
                <c:pt idx="263">
                  <c:v>49.8</c:v>
                </c:pt>
                <c:pt idx="264">
                  <c:v>43.5</c:v>
                </c:pt>
                <c:pt idx="265">
                  <c:v>51.5</c:v>
                </c:pt>
                <c:pt idx="266">
                  <c:v>46.2</c:v>
                </c:pt>
                <c:pt idx="267">
                  <c:v>55.1</c:v>
                </c:pt>
                <c:pt idx="268">
                  <c:v>44.5</c:v>
                </c:pt>
                <c:pt idx="269">
                  <c:v>48.8</c:v>
                </c:pt>
                <c:pt idx="270">
                  <c:v>47.2</c:v>
                </c:pt>
                <c:pt idx="271">
                  <c:v>#N/A</c:v>
                </c:pt>
                <c:pt idx="272">
                  <c:v>46.8</c:v>
                </c:pt>
                <c:pt idx="273">
                  <c:v>50.4</c:v>
                </c:pt>
                <c:pt idx="274">
                  <c:v>45.2</c:v>
                </c:pt>
                <c:pt idx="275">
                  <c:v>49.9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D-7D13-4F6C-AC8B-269655752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5"/>
        <c:showNegBubbles val="0"/>
        <c:sizeRepresents val="w"/>
        <c:axId val="1782388744"/>
        <c:axId val="1782392840"/>
      </c:bubbleChart>
      <c:valAx>
        <c:axId val="1782388744"/>
        <c:scaling>
          <c:orientation val="minMax"/>
          <c:max val="232"/>
          <c:min val="1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Flipper</a:t>
                </a:r>
                <a:r>
                  <a:rPr lang="en-US" baseline="0"/>
                  <a:t> Length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392840"/>
        <c:crosses val="autoZero"/>
        <c:crossBetween val="midCat"/>
      </c:valAx>
      <c:valAx>
        <c:axId val="1782392840"/>
        <c:scaling>
          <c:orientation val="minMax"/>
          <c:max val="6400"/>
          <c:min val="2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Body</a:t>
                </a:r>
                <a:r>
                  <a:rPr lang="en-US" baseline="0"/>
                  <a:t> Mass 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388744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438150</xdr:colOff>
      <xdr:row>5</xdr:row>
      <xdr:rowOff>114300</xdr:rowOff>
    </xdr:from>
    <xdr:to>
      <xdr:col>28</xdr:col>
      <xdr:colOff>504825</xdr:colOff>
      <xdr:row>20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56872E-B4E6-2A3F-D616-9770E6FB3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6"/>
  <sheetViews>
    <sheetView tabSelected="1" zoomScale="75" workbookViewId="0">
      <selection activeCell="X5" sqref="X5"/>
    </sheetView>
  </sheetViews>
  <sheetFormatPr baseColWidth="10" defaultColWidth="8.83203125" defaultRowHeight="15" x14ac:dyDescent="0.2"/>
  <cols>
    <col min="3" max="3" width="13.5" customWidth="1"/>
    <col min="4" max="4" width="15.5" customWidth="1"/>
    <col min="5" max="5" width="14.1640625" customWidth="1"/>
    <col min="6" max="6" width="13" customWidth="1"/>
    <col min="7" max="7" width="12.33203125" customWidth="1"/>
    <col min="8" max="8" width="12.1640625" customWidth="1"/>
  </cols>
  <sheetData>
    <row r="1" spans="1:20" ht="16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  <row r="2" spans="1:20" ht="16" x14ac:dyDescent="0.2">
      <c r="A2" s="1">
        <v>1</v>
      </c>
      <c r="B2" s="1" t="s">
        <v>17</v>
      </c>
      <c r="C2" s="1" t="s">
        <v>18</v>
      </c>
      <c r="D2" s="1">
        <v>39.1</v>
      </c>
      <c r="E2" s="1">
        <v>18.7</v>
      </c>
      <c r="F2" s="1">
        <v>181</v>
      </c>
      <c r="G2" s="1">
        <v>3750</v>
      </c>
      <c r="H2" s="1" t="s">
        <v>19</v>
      </c>
      <c r="I2" s="1">
        <v>2007</v>
      </c>
      <c r="L2">
        <f>IF(TRIM(CLEAN(SUBSTITUTE($B2,CHAR(160),"")))="Adelie",IFERROR(VALUE($F2),NA()),NA())</f>
        <v>181</v>
      </c>
      <c r="M2">
        <f>IF(TRIM(CLEAN(SUBSTITUTE($B2,CHAR(160),"")))="Adelie",IFERROR(VALUE($G2),NA()),NA())</f>
        <v>3750</v>
      </c>
      <c r="N2">
        <f>IF(TRIM(CLEAN(SUBSTITUTE($B2,CHAR(160),"")))="Adelie",IF(OR($D2="NA",$D2=""),NA(),VALUE($D2)),NA())</f>
        <v>39.1</v>
      </c>
      <c r="O2" t="e">
        <f>IF(TRIM(CLEAN(SUBSTITUTE($B2,CHAR(160),"")))="Chinstrap",IF(OR($F2="NA",$F2=""),NA(),VALUE($F2)),NA())</f>
        <v>#N/A</v>
      </c>
      <c r="P2" t="e">
        <f>IF(TRIM(CLEAN(SUBSTITUTE($B2,CHAR(160),"")))="Chinstrap",IF(OR($G2="NA",$G2=""),NA(),VALUE($G2)),NA())</f>
        <v>#N/A</v>
      </c>
      <c r="Q2" t="e">
        <f>IF(TRIM(CLEAN(SUBSTITUTE($B2,CHAR(160),"")))="Chinstrap",IF(OR($D2="NA",$D2=""),NA(),VALUE($D2)),NA())</f>
        <v>#N/A</v>
      </c>
      <c r="R2" t="e">
        <f>IF(TRIM(CLEAN(SUBSTITUTE($B2,CHAR(160),"")))="Gentoo",IF(OR($F2="NA",$F2=""),NA(),VALUE($F2)),NA())</f>
        <v>#N/A</v>
      </c>
      <c r="S2" t="e">
        <f>IF(TRIM(CLEAN(SUBSTITUTE($B2,CHAR(160),"")))="Gentoo",IF(OR($G2="NA",$G2=""),NA(),VALUE($G2)),NA())</f>
        <v>#N/A</v>
      </c>
      <c r="T2" t="e">
        <f>IF(TRIM(CLEAN(SUBSTITUTE($B2,CHAR(160),"")))="Gentoo",IF(OR($D2="NA",$D2=""),NA(),VALUE($D2)),NA())</f>
        <v>#N/A</v>
      </c>
    </row>
    <row r="3" spans="1:20" ht="16" x14ac:dyDescent="0.2">
      <c r="A3" s="1">
        <v>2</v>
      </c>
      <c r="B3" s="1" t="s">
        <v>17</v>
      </c>
      <c r="C3" s="1" t="s">
        <v>18</v>
      </c>
      <c r="D3" s="1">
        <v>39.5</v>
      </c>
      <c r="E3" s="1">
        <v>17.399999999999999</v>
      </c>
      <c r="F3" s="1">
        <v>186</v>
      </c>
      <c r="G3" s="1">
        <v>3800</v>
      </c>
      <c r="H3" s="1" t="s">
        <v>20</v>
      </c>
      <c r="I3" s="1">
        <v>2007</v>
      </c>
      <c r="L3">
        <f t="shared" ref="L3:L66" si="0">IF(TRIM($B3)="Adelie",IFERROR(VALUE($F3),NA()),NA())</f>
        <v>186</v>
      </c>
      <c r="M3">
        <f t="shared" ref="M3:M66" si="1">IF(TRIM(CLEAN(SUBSTITUTE($B3,CHAR(160),"")))="Adelie",IFERROR(VALUE($G3),NA()),NA())</f>
        <v>3800</v>
      </c>
      <c r="N3">
        <f t="shared" ref="N3:N66" si="2">IF(TRIM(CLEAN(SUBSTITUTE($B3,CHAR(160),"")))="Adelie",IF(OR($D3="NA",$D3=""),NA(),VALUE($D3)),NA())</f>
        <v>39.5</v>
      </c>
      <c r="O3" t="e">
        <f t="shared" ref="O3:O66" si="3">IF(TRIM(CLEAN(SUBSTITUTE($B3,CHAR(160),"")))="Chinstrap",IF(OR($F3="NA",$F3=""),NA(),VALUE($F3)),NA())</f>
        <v>#N/A</v>
      </c>
      <c r="P3" t="e">
        <f t="shared" ref="P3:P66" si="4">IF(TRIM(CLEAN(SUBSTITUTE($B3,CHAR(160),"")))="Chinstrap",IF(OR($G3="NA",$G3=""),NA(),VALUE($G3)),NA())</f>
        <v>#N/A</v>
      </c>
      <c r="Q3" t="e">
        <f t="shared" ref="Q3:Q66" si="5">IF(TRIM(CLEAN(SUBSTITUTE($B3,CHAR(160),"")))="Chinstrap",IF(OR($D3="NA",$D3=""),NA(),VALUE($D3)),NA())</f>
        <v>#N/A</v>
      </c>
      <c r="R3" t="e">
        <f t="shared" ref="R3:R66" si="6">IF(TRIM(CLEAN(SUBSTITUTE($B3,CHAR(160),"")))="Gentoo",IF(OR($F3="NA",$F3=""),NA(),VALUE($F3)),NA())</f>
        <v>#N/A</v>
      </c>
      <c r="S3" t="e">
        <f t="shared" ref="S3:S66" si="7">IF(TRIM(CLEAN(SUBSTITUTE($B3,CHAR(160),"")))="Gentoo",IF(OR($G3="NA",$G3=""),NA(),VALUE($G3)),NA())</f>
        <v>#N/A</v>
      </c>
      <c r="T3" t="e">
        <f t="shared" ref="T3:T66" si="8">IF(TRIM(CLEAN(SUBSTITUTE($B3,CHAR(160),"")))="Gentoo",IF(OR($D3="NA",$D3=""),NA(),VALUE($D3)),NA())</f>
        <v>#N/A</v>
      </c>
    </row>
    <row r="4" spans="1:20" ht="16" x14ac:dyDescent="0.2">
      <c r="A4" s="1">
        <v>3</v>
      </c>
      <c r="B4" s="1" t="s">
        <v>17</v>
      </c>
      <c r="C4" s="1" t="s">
        <v>18</v>
      </c>
      <c r="D4" s="1">
        <v>40.299999999999997</v>
      </c>
      <c r="E4" s="1">
        <v>18</v>
      </c>
      <c r="F4" s="1">
        <v>195</v>
      </c>
      <c r="G4" s="1">
        <v>3250</v>
      </c>
      <c r="H4" s="1" t="s">
        <v>20</v>
      </c>
      <c r="I4" s="1">
        <v>2007</v>
      </c>
      <c r="L4">
        <f t="shared" si="0"/>
        <v>195</v>
      </c>
      <c r="M4">
        <f t="shared" si="1"/>
        <v>3250</v>
      </c>
      <c r="N4">
        <f t="shared" si="2"/>
        <v>40.299999999999997</v>
      </c>
      <c r="O4" t="e">
        <f t="shared" si="3"/>
        <v>#N/A</v>
      </c>
      <c r="P4" t="e">
        <f t="shared" si="4"/>
        <v>#N/A</v>
      </c>
      <c r="Q4" t="e">
        <f t="shared" si="5"/>
        <v>#N/A</v>
      </c>
      <c r="R4" t="e">
        <f t="shared" si="6"/>
        <v>#N/A</v>
      </c>
      <c r="S4" t="e">
        <f t="shared" si="7"/>
        <v>#N/A</v>
      </c>
      <c r="T4" t="e">
        <f t="shared" si="8"/>
        <v>#N/A</v>
      </c>
    </row>
    <row r="5" spans="1:20" ht="16" x14ac:dyDescent="0.2">
      <c r="A5" s="1">
        <v>4</v>
      </c>
      <c r="B5" s="1" t="s">
        <v>17</v>
      </c>
      <c r="C5" s="1" t="s">
        <v>18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>
        <v>2007</v>
      </c>
      <c r="L5" t="e">
        <f t="shared" si="0"/>
        <v>#N/A</v>
      </c>
      <c r="M5" t="e">
        <f t="shared" si="1"/>
        <v>#N/A</v>
      </c>
      <c r="N5" t="e">
        <f t="shared" si="2"/>
        <v>#N/A</v>
      </c>
      <c r="O5" t="e">
        <f t="shared" si="3"/>
        <v>#N/A</v>
      </c>
      <c r="P5" t="e">
        <f t="shared" si="4"/>
        <v>#N/A</v>
      </c>
      <c r="Q5" t="e">
        <f t="shared" si="5"/>
        <v>#N/A</v>
      </c>
      <c r="R5" t="e">
        <f t="shared" si="6"/>
        <v>#N/A</v>
      </c>
      <c r="S5" t="e">
        <f t="shared" si="7"/>
        <v>#N/A</v>
      </c>
      <c r="T5" t="e">
        <f t="shared" si="8"/>
        <v>#N/A</v>
      </c>
    </row>
    <row r="6" spans="1:20" ht="16" x14ac:dyDescent="0.2">
      <c r="A6" s="1">
        <v>5</v>
      </c>
      <c r="B6" s="1" t="s">
        <v>17</v>
      </c>
      <c r="C6" s="1" t="s">
        <v>18</v>
      </c>
      <c r="D6" s="1">
        <v>36.700000000000003</v>
      </c>
      <c r="E6" s="1">
        <v>19.3</v>
      </c>
      <c r="F6" s="1">
        <v>193</v>
      </c>
      <c r="G6" s="1">
        <v>3450</v>
      </c>
      <c r="H6" s="1" t="s">
        <v>20</v>
      </c>
      <c r="I6" s="1">
        <v>2007</v>
      </c>
      <c r="L6">
        <f t="shared" si="0"/>
        <v>193</v>
      </c>
      <c r="M6">
        <f t="shared" si="1"/>
        <v>3450</v>
      </c>
      <c r="N6">
        <f t="shared" si="2"/>
        <v>36.700000000000003</v>
      </c>
      <c r="O6" t="e">
        <f t="shared" si="3"/>
        <v>#N/A</v>
      </c>
      <c r="P6" t="e">
        <f t="shared" si="4"/>
        <v>#N/A</v>
      </c>
      <c r="Q6" t="e">
        <f t="shared" si="5"/>
        <v>#N/A</v>
      </c>
      <c r="R6" t="e">
        <f t="shared" si="6"/>
        <v>#N/A</v>
      </c>
      <c r="S6" t="e">
        <f t="shared" si="7"/>
        <v>#N/A</v>
      </c>
      <c r="T6" t="e">
        <f t="shared" si="8"/>
        <v>#N/A</v>
      </c>
    </row>
    <row r="7" spans="1:20" ht="16" x14ac:dyDescent="0.2">
      <c r="A7" s="1">
        <v>6</v>
      </c>
      <c r="B7" s="1" t="s">
        <v>17</v>
      </c>
      <c r="C7" s="1" t="s">
        <v>18</v>
      </c>
      <c r="D7" s="1">
        <v>39.299999999999997</v>
      </c>
      <c r="E7" s="1">
        <v>20.6</v>
      </c>
      <c r="F7" s="1">
        <v>190</v>
      </c>
      <c r="G7" s="1">
        <v>3650</v>
      </c>
      <c r="H7" s="1" t="s">
        <v>19</v>
      </c>
      <c r="I7" s="1">
        <v>2007</v>
      </c>
      <c r="L7">
        <f t="shared" si="0"/>
        <v>190</v>
      </c>
      <c r="M7">
        <f t="shared" si="1"/>
        <v>3650</v>
      </c>
      <c r="N7">
        <f t="shared" si="2"/>
        <v>39.299999999999997</v>
      </c>
      <c r="O7" t="e">
        <f t="shared" si="3"/>
        <v>#N/A</v>
      </c>
      <c r="P7" t="e">
        <f t="shared" si="4"/>
        <v>#N/A</v>
      </c>
      <c r="Q7" t="e">
        <f t="shared" si="5"/>
        <v>#N/A</v>
      </c>
      <c r="R7" t="e">
        <f t="shared" si="6"/>
        <v>#N/A</v>
      </c>
      <c r="S7" t="e">
        <f t="shared" si="7"/>
        <v>#N/A</v>
      </c>
      <c r="T7" t="e">
        <f t="shared" si="8"/>
        <v>#N/A</v>
      </c>
    </row>
    <row r="8" spans="1:20" ht="16" x14ac:dyDescent="0.2">
      <c r="A8" s="1">
        <v>7</v>
      </c>
      <c r="B8" s="1" t="s">
        <v>17</v>
      </c>
      <c r="C8" s="1" t="s">
        <v>18</v>
      </c>
      <c r="D8" s="1">
        <v>38.9</v>
      </c>
      <c r="E8" s="1">
        <v>17.8</v>
      </c>
      <c r="F8" s="1">
        <v>181</v>
      </c>
      <c r="G8" s="1">
        <v>3625</v>
      </c>
      <c r="H8" s="1" t="s">
        <v>20</v>
      </c>
      <c r="I8" s="1">
        <v>2007</v>
      </c>
      <c r="L8">
        <f t="shared" si="0"/>
        <v>181</v>
      </c>
      <c r="M8">
        <f t="shared" si="1"/>
        <v>3625</v>
      </c>
      <c r="N8">
        <f t="shared" si="2"/>
        <v>38.9</v>
      </c>
      <c r="O8" t="e">
        <f t="shared" si="3"/>
        <v>#N/A</v>
      </c>
      <c r="P8" t="e">
        <f t="shared" si="4"/>
        <v>#N/A</v>
      </c>
      <c r="Q8" t="e">
        <f t="shared" si="5"/>
        <v>#N/A</v>
      </c>
      <c r="R8" t="e">
        <f t="shared" si="6"/>
        <v>#N/A</v>
      </c>
      <c r="S8" t="e">
        <f t="shared" si="7"/>
        <v>#N/A</v>
      </c>
      <c r="T8" t="e">
        <f t="shared" si="8"/>
        <v>#N/A</v>
      </c>
    </row>
    <row r="9" spans="1:20" ht="16" x14ac:dyDescent="0.2">
      <c r="A9" s="1">
        <v>8</v>
      </c>
      <c r="B9" s="1" t="s">
        <v>17</v>
      </c>
      <c r="C9" s="1" t="s">
        <v>18</v>
      </c>
      <c r="D9" s="1">
        <v>39.200000000000003</v>
      </c>
      <c r="E9" s="1">
        <v>19.600000000000001</v>
      </c>
      <c r="F9" s="1">
        <v>195</v>
      </c>
      <c r="G9" s="1">
        <v>4675</v>
      </c>
      <c r="H9" s="1" t="s">
        <v>19</v>
      </c>
      <c r="I9" s="1">
        <v>2007</v>
      </c>
      <c r="L9">
        <f t="shared" si="0"/>
        <v>195</v>
      </c>
      <c r="M9">
        <f t="shared" si="1"/>
        <v>4675</v>
      </c>
      <c r="N9">
        <f t="shared" si="2"/>
        <v>39.200000000000003</v>
      </c>
      <c r="O9" t="e">
        <f t="shared" si="3"/>
        <v>#N/A</v>
      </c>
      <c r="P9" t="e">
        <f t="shared" si="4"/>
        <v>#N/A</v>
      </c>
      <c r="Q9" t="e">
        <f t="shared" si="5"/>
        <v>#N/A</v>
      </c>
      <c r="R9" t="e">
        <f t="shared" si="6"/>
        <v>#N/A</v>
      </c>
      <c r="S9" t="e">
        <f t="shared" si="7"/>
        <v>#N/A</v>
      </c>
      <c r="T9" t="e">
        <f t="shared" si="8"/>
        <v>#N/A</v>
      </c>
    </row>
    <row r="10" spans="1:20" ht="16" x14ac:dyDescent="0.2">
      <c r="A10" s="1">
        <v>9</v>
      </c>
      <c r="B10" s="1" t="s">
        <v>17</v>
      </c>
      <c r="C10" s="1" t="s">
        <v>18</v>
      </c>
      <c r="D10" s="1">
        <v>34.1</v>
      </c>
      <c r="E10" s="1">
        <v>18.100000000000001</v>
      </c>
      <c r="F10" s="1">
        <v>193</v>
      </c>
      <c r="G10" s="1">
        <v>3475</v>
      </c>
      <c r="H10" s="1" t="s">
        <v>21</v>
      </c>
      <c r="I10" s="1">
        <v>2007</v>
      </c>
      <c r="L10">
        <f t="shared" si="0"/>
        <v>193</v>
      </c>
      <c r="M10">
        <f t="shared" si="1"/>
        <v>3475</v>
      </c>
      <c r="N10">
        <f t="shared" si="2"/>
        <v>34.1</v>
      </c>
      <c r="O10" t="e">
        <f t="shared" si="3"/>
        <v>#N/A</v>
      </c>
      <c r="P10" t="e">
        <f t="shared" si="4"/>
        <v>#N/A</v>
      </c>
      <c r="Q10" t="e">
        <f t="shared" si="5"/>
        <v>#N/A</v>
      </c>
      <c r="R10" t="e">
        <f t="shared" si="6"/>
        <v>#N/A</v>
      </c>
      <c r="S10" t="e">
        <f t="shared" si="7"/>
        <v>#N/A</v>
      </c>
      <c r="T10" t="e">
        <f t="shared" si="8"/>
        <v>#N/A</v>
      </c>
    </row>
    <row r="11" spans="1:20" ht="16" x14ac:dyDescent="0.2">
      <c r="A11" s="1">
        <v>10</v>
      </c>
      <c r="B11" s="1" t="s">
        <v>17</v>
      </c>
      <c r="C11" s="1" t="s">
        <v>18</v>
      </c>
      <c r="D11" s="1">
        <v>42</v>
      </c>
      <c r="E11" s="1">
        <v>20.2</v>
      </c>
      <c r="F11" s="1">
        <v>190</v>
      </c>
      <c r="G11" s="1">
        <v>4250</v>
      </c>
      <c r="H11" s="1" t="s">
        <v>21</v>
      </c>
      <c r="I11" s="1">
        <v>2007</v>
      </c>
      <c r="L11">
        <f t="shared" si="0"/>
        <v>190</v>
      </c>
      <c r="M11">
        <f t="shared" si="1"/>
        <v>4250</v>
      </c>
      <c r="N11">
        <f t="shared" si="2"/>
        <v>42</v>
      </c>
      <c r="O11" t="e">
        <f t="shared" si="3"/>
        <v>#N/A</v>
      </c>
      <c r="P11" t="e">
        <f t="shared" si="4"/>
        <v>#N/A</v>
      </c>
      <c r="Q11" t="e">
        <f t="shared" si="5"/>
        <v>#N/A</v>
      </c>
      <c r="R11" t="e">
        <f t="shared" si="6"/>
        <v>#N/A</v>
      </c>
      <c r="S11" t="e">
        <f t="shared" si="7"/>
        <v>#N/A</v>
      </c>
      <c r="T11" t="e">
        <f t="shared" si="8"/>
        <v>#N/A</v>
      </c>
    </row>
    <row r="12" spans="1:20" ht="16" x14ac:dyDescent="0.2">
      <c r="A12" s="1">
        <v>11</v>
      </c>
      <c r="B12" s="1" t="s">
        <v>17</v>
      </c>
      <c r="C12" s="1" t="s">
        <v>18</v>
      </c>
      <c r="D12" s="1">
        <v>37.799999999999997</v>
      </c>
      <c r="E12" s="1">
        <v>17.100000000000001</v>
      </c>
      <c r="F12" s="1">
        <v>186</v>
      </c>
      <c r="G12" s="1">
        <v>3300</v>
      </c>
      <c r="H12" s="1" t="s">
        <v>21</v>
      </c>
      <c r="I12" s="1">
        <v>2007</v>
      </c>
      <c r="L12">
        <f t="shared" si="0"/>
        <v>186</v>
      </c>
      <c r="M12">
        <f t="shared" si="1"/>
        <v>3300</v>
      </c>
      <c r="N12">
        <f t="shared" si="2"/>
        <v>37.799999999999997</v>
      </c>
      <c r="O12" t="e">
        <f t="shared" si="3"/>
        <v>#N/A</v>
      </c>
      <c r="P12" t="e">
        <f t="shared" si="4"/>
        <v>#N/A</v>
      </c>
      <c r="Q12" t="e">
        <f t="shared" si="5"/>
        <v>#N/A</v>
      </c>
      <c r="R12" t="e">
        <f t="shared" si="6"/>
        <v>#N/A</v>
      </c>
      <c r="S12" t="e">
        <f t="shared" si="7"/>
        <v>#N/A</v>
      </c>
      <c r="T12" t="e">
        <f t="shared" si="8"/>
        <v>#N/A</v>
      </c>
    </row>
    <row r="13" spans="1:20" ht="16" x14ac:dyDescent="0.2">
      <c r="A13" s="1">
        <v>12</v>
      </c>
      <c r="B13" s="1" t="s">
        <v>17</v>
      </c>
      <c r="C13" s="1" t="s">
        <v>18</v>
      </c>
      <c r="D13" s="1">
        <v>37.799999999999997</v>
      </c>
      <c r="E13" s="1">
        <v>17.3</v>
      </c>
      <c r="F13" s="1">
        <v>180</v>
      </c>
      <c r="G13" s="1">
        <v>3700</v>
      </c>
      <c r="H13" s="1" t="s">
        <v>21</v>
      </c>
      <c r="I13" s="1">
        <v>2007</v>
      </c>
      <c r="L13">
        <f t="shared" si="0"/>
        <v>180</v>
      </c>
      <c r="M13">
        <f t="shared" si="1"/>
        <v>3700</v>
      </c>
      <c r="N13">
        <f t="shared" si="2"/>
        <v>37.799999999999997</v>
      </c>
      <c r="O13" t="e">
        <f t="shared" si="3"/>
        <v>#N/A</v>
      </c>
      <c r="P13" t="e">
        <f t="shared" si="4"/>
        <v>#N/A</v>
      </c>
      <c r="Q13" t="e">
        <f t="shared" si="5"/>
        <v>#N/A</v>
      </c>
      <c r="R13" t="e">
        <f t="shared" si="6"/>
        <v>#N/A</v>
      </c>
      <c r="S13" t="e">
        <f t="shared" si="7"/>
        <v>#N/A</v>
      </c>
      <c r="T13" t="e">
        <f t="shared" si="8"/>
        <v>#N/A</v>
      </c>
    </row>
    <row r="14" spans="1:20" ht="16" x14ac:dyDescent="0.2">
      <c r="A14" s="1">
        <v>13</v>
      </c>
      <c r="B14" s="1" t="s">
        <v>17</v>
      </c>
      <c r="C14" s="1" t="s">
        <v>18</v>
      </c>
      <c r="D14" s="1">
        <v>41.1</v>
      </c>
      <c r="E14" s="1">
        <v>17.600000000000001</v>
      </c>
      <c r="F14" s="1">
        <v>182</v>
      </c>
      <c r="G14" s="1">
        <v>3200</v>
      </c>
      <c r="H14" s="1" t="s">
        <v>20</v>
      </c>
      <c r="I14" s="1">
        <v>2007</v>
      </c>
      <c r="L14">
        <f t="shared" si="0"/>
        <v>182</v>
      </c>
      <c r="M14">
        <f t="shared" si="1"/>
        <v>3200</v>
      </c>
      <c r="N14">
        <f t="shared" si="2"/>
        <v>41.1</v>
      </c>
      <c r="O14" t="e">
        <f t="shared" si="3"/>
        <v>#N/A</v>
      </c>
      <c r="P14" t="e">
        <f t="shared" si="4"/>
        <v>#N/A</v>
      </c>
      <c r="Q14" t="e">
        <f t="shared" si="5"/>
        <v>#N/A</v>
      </c>
      <c r="R14" t="e">
        <f t="shared" si="6"/>
        <v>#N/A</v>
      </c>
      <c r="S14" t="e">
        <f t="shared" si="7"/>
        <v>#N/A</v>
      </c>
      <c r="T14" t="e">
        <f t="shared" si="8"/>
        <v>#N/A</v>
      </c>
    </row>
    <row r="15" spans="1:20" ht="16" x14ac:dyDescent="0.2">
      <c r="A15" s="1">
        <v>14</v>
      </c>
      <c r="B15" s="1" t="s">
        <v>17</v>
      </c>
      <c r="C15" s="1" t="s">
        <v>18</v>
      </c>
      <c r="D15" s="1">
        <v>38.6</v>
      </c>
      <c r="E15" s="1">
        <v>21.2</v>
      </c>
      <c r="F15" s="1">
        <v>191</v>
      </c>
      <c r="G15" s="1">
        <v>3800</v>
      </c>
      <c r="H15" s="1" t="s">
        <v>19</v>
      </c>
      <c r="I15" s="1">
        <v>2007</v>
      </c>
      <c r="L15">
        <f t="shared" si="0"/>
        <v>191</v>
      </c>
      <c r="M15">
        <f t="shared" si="1"/>
        <v>3800</v>
      </c>
      <c r="N15">
        <f t="shared" si="2"/>
        <v>38.6</v>
      </c>
      <c r="O15" t="e">
        <f t="shared" si="3"/>
        <v>#N/A</v>
      </c>
      <c r="P15" t="e">
        <f t="shared" si="4"/>
        <v>#N/A</v>
      </c>
      <c r="Q15" t="e">
        <f t="shared" si="5"/>
        <v>#N/A</v>
      </c>
      <c r="R15" t="e">
        <f t="shared" si="6"/>
        <v>#N/A</v>
      </c>
      <c r="S15" t="e">
        <f t="shared" si="7"/>
        <v>#N/A</v>
      </c>
      <c r="T15" t="e">
        <f t="shared" si="8"/>
        <v>#N/A</v>
      </c>
    </row>
    <row r="16" spans="1:20" ht="16" x14ac:dyDescent="0.2">
      <c r="A16" s="1">
        <v>15</v>
      </c>
      <c r="B16" s="1" t="s">
        <v>17</v>
      </c>
      <c r="C16" s="1" t="s">
        <v>18</v>
      </c>
      <c r="D16" s="1">
        <v>34.6</v>
      </c>
      <c r="E16" s="1">
        <v>21.1</v>
      </c>
      <c r="F16" s="1">
        <v>198</v>
      </c>
      <c r="G16" s="1">
        <v>4400</v>
      </c>
      <c r="H16" s="1" t="s">
        <v>19</v>
      </c>
      <c r="I16" s="1">
        <v>2007</v>
      </c>
      <c r="L16">
        <f t="shared" si="0"/>
        <v>198</v>
      </c>
      <c r="M16">
        <f t="shared" si="1"/>
        <v>4400</v>
      </c>
      <c r="N16">
        <f t="shared" si="2"/>
        <v>34.6</v>
      </c>
      <c r="O16" t="e">
        <f t="shared" si="3"/>
        <v>#N/A</v>
      </c>
      <c r="P16" t="e">
        <f t="shared" si="4"/>
        <v>#N/A</v>
      </c>
      <c r="Q16" t="e">
        <f t="shared" si="5"/>
        <v>#N/A</v>
      </c>
      <c r="R16" t="e">
        <f t="shared" si="6"/>
        <v>#N/A</v>
      </c>
      <c r="S16" t="e">
        <f t="shared" si="7"/>
        <v>#N/A</v>
      </c>
      <c r="T16" t="e">
        <f t="shared" si="8"/>
        <v>#N/A</v>
      </c>
    </row>
    <row r="17" spans="1:20" ht="16" x14ac:dyDescent="0.2">
      <c r="A17" s="1">
        <v>16</v>
      </c>
      <c r="B17" s="1" t="s">
        <v>17</v>
      </c>
      <c r="C17" s="1" t="s">
        <v>18</v>
      </c>
      <c r="D17" s="1">
        <v>36.6</v>
      </c>
      <c r="E17" s="1">
        <v>17.8</v>
      </c>
      <c r="F17" s="1">
        <v>185</v>
      </c>
      <c r="G17" s="1">
        <v>3700</v>
      </c>
      <c r="H17" s="1" t="s">
        <v>20</v>
      </c>
      <c r="I17" s="1">
        <v>2007</v>
      </c>
      <c r="L17">
        <f t="shared" si="0"/>
        <v>185</v>
      </c>
      <c r="M17">
        <f t="shared" si="1"/>
        <v>3700</v>
      </c>
      <c r="N17">
        <f t="shared" si="2"/>
        <v>36.6</v>
      </c>
      <c r="O17" t="e">
        <f t="shared" si="3"/>
        <v>#N/A</v>
      </c>
      <c r="P17" t="e">
        <f t="shared" si="4"/>
        <v>#N/A</v>
      </c>
      <c r="Q17" t="e">
        <f t="shared" si="5"/>
        <v>#N/A</v>
      </c>
      <c r="R17" t="e">
        <f t="shared" si="6"/>
        <v>#N/A</v>
      </c>
      <c r="S17" t="e">
        <f t="shared" si="7"/>
        <v>#N/A</v>
      </c>
      <c r="T17" t="e">
        <f t="shared" si="8"/>
        <v>#N/A</v>
      </c>
    </row>
    <row r="18" spans="1:20" ht="16" x14ac:dyDescent="0.2">
      <c r="A18" s="1">
        <v>17</v>
      </c>
      <c r="B18" s="1" t="s">
        <v>17</v>
      </c>
      <c r="C18" s="1" t="s">
        <v>18</v>
      </c>
      <c r="D18" s="1">
        <v>38.700000000000003</v>
      </c>
      <c r="E18" s="1">
        <v>19</v>
      </c>
      <c r="F18" s="1">
        <v>195</v>
      </c>
      <c r="G18" s="1">
        <v>3450</v>
      </c>
      <c r="H18" s="1" t="s">
        <v>20</v>
      </c>
      <c r="I18" s="1">
        <v>2007</v>
      </c>
      <c r="L18">
        <f t="shared" si="0"/>
        <v>195</v>
      </c>
      <c r="M18">
        <f t="shared" si="1"/>
        <v>3450</v>
      </c>
      <c r="N18">
        <f t="shared" si="2"/>
        <v>38.700000000000003</v>
      </c>
      <c r="O18" t="e">
        <f t="shared" si="3"/>
        <v>#N/A</v>
      </c>
      <c r="P18" t="e">
        <f t="shared" si="4"/>
        <v>#N/A</v>
      </c>
      <c r="Q18" t="e">
        <f t="shared" si="5"/>
        <v>#N/A</v>
      </c>
      <c r="R18" t="e">
        <f t="shared" si="6"/>
        <v>#N/A</v>
      </c>
      <c r="S18" t="e">
        <f t="shared" si="7"/>
        <v>#N/A</v>
      </c>
      <c r="T18" t="e">
        <f t="shared" si="8"/>
        <v>#N/A</v>
      </c>
    </row>
    <row r="19" spans="1:20" ht="16" x14ac:dyDescent="0.2">
      <c r="A19" s="1">
        <v>18</v>
      </c>
      <c r="B19" s="1" t="s">
        <v>17</v>
      </c>
      <c r="C19" s="1" t="s">
        <v>18</v>
      </c>
      <c r="D19" s="1">
        <v>42.5</v>
      </c>
      <c r="E19" s="1">
        <v>20.7</v>
      </c>
      <c r="F19" s="1">
        <v>197</v>
      </c>
      <c r="G19" s="1">
        <v>4500</v>
      </c>
      <c r="H19" s="1" t="s">
        <v>19</v>
      </c>
      <c r="I19" s="1">
        <v>2007</v>
      </c>
      <c r="L19">
        <f t="shared" si="0"/>
        <v>197</v>
      </c>
      <c r="M19">
        <f t="shared" si="1"/>
        <v>4500</v>
      </c>
      <c r="N19">
        <f t="shared" si="2"/>
        <v>42.5</v>
      </c>
      <c r="O19" t="e">
        <f t="shared" si="3"/>
        <v>#N/A</v>
      </c>
      <c r="P19" t="e">
        <f t="shared" si="4"/>
        <v>#N/A</v>
      </c>
      <c r="Q19" t="e">
        <f t="shared" si="5"/>
        <v>#N/A</v>
      </c>
      <c r="R19" t="e">
        <f t="shared" si="6"/>
        <v>#N/A</v>
      </c>
      <c r="S19" t="e">
        <f t="shared" si="7"/>
        <v>#N/A</v>
      </c>
      <c r="T19" t="e">
        <f t="shared" si="8"/>
        <v>#N/A</v>
      </c>
    </row>
    <row r="20" spans="1:20" ht="16" x14ac:dyDescent="0.2">
      <c r="A20" s="1">
        <v>19</v>
      </c>
      <c r="B20" s="1" t="s">
        <v>17</v>
      </c>
      <c r="C20" s="1" t="s">
        <v>18</v>
      </c>
      <c r="D20" s="1">
        <v>34.4</v>
      </c>
      <c r="E20" s="1">
        <v>18.399999999999999</v>
      </c>
      <c r="F20" s="1">
        <v>184</v>
      </c>
      <c r="G20" s="1">
        <v>3325</v>
      </c>
      <c r="H20" s="1" t="s">
        <v>20</v>
      </c>
      <c r="I20" s="1">
        <v>2007</v>
      </c>
      <c r="L20">
        <f t="shared" si="0"/>
        <v>184</v>
      </c>
      <c r="M20">
        <f t="shared" si="1"/>
        <v>3325</v>
      </c>
      <c r="N20">
        <f t="shared" si="2"/>
        <v>34.4</v>
      </c>
      <c r="O20" t="e">
        <f t="shared" si="3"/>
        <v>#N/A</v>
      </c>
      <c r="P20" t="e">
        <f t="shared" si="4"/>
        <v>#N/A</v>
      </c>
      <c r="Q20" t="e">
        <f t="shared" si="5"/>
        <v>#N/A</v>
      </c>
      <c r="R20" t="e">
        <f t="shared" si="6"/>
        <v>#N/A</v>
      </c>
      <c r="S20" t="e">
        <f t="shared" si="7"/>
        <v>#N/A</v>
      </c>
      <c r="T20" t="e">
        <f t="shared" si="8"/>
        <v>#N/A</v>
      </c>
    </row>
    <row r="21" spans="1:20" ht="16" x14ac:dyDescent="0.2">
      <c r="A21" s="1">
        <v>20</v>
      </c>
      <c r="B21" s="1" t="s">
        <v>17</v>
      </c>
      <c r="C21" s="1" t="s">
        <v>18</v>
      </c>
      <c r="D21" s="1">
        <v>46</v>
      </c>
      <c r="E21" s="1">
        <v>21.5</v>
      </c>
      <c r="F21" s="1">
        <v>194</v>
      </c>
      <c r="G21" s="1">
        <v>4200</v>
      </c>
      <c r="H21" s="1" t="s">
        <v>19</v>
      </c>
      <c r="I21" s="1">
        <v>2007</v>
      </c>
      <c r="L21">
        <f t="shared" si="0"/>
        <v>194</v>
      </c>
      <c r="M21">
        <f t="shared" si="1"/>
        <v>4200</v>
      </c>
      <c r="N21">
        <f t="shared" si="2"/>
        <v>46</v>
      </c>
      <c r="O21" t="e">
        <f t="shared" si="3"/>
        <v>#N/A</v>
      </c>
      <c r="P21" t="e">
        <f t="shared" si="4"/>
        <v>#N/A</v>
      </c>
      <c r="Q21" t="e">
        <f t="shared" si="5"/>
        <v>#N/A</v>
      </c>
      <c r="R21" t="e">
        <f t="shared" si="6"/>
        <v>#N/A</v>
      </c>
      <c r="S21" t="e">
        <f t="shared" si="7"/>
        <v>#N/A</v>
      </c>
      <c r="T21" t="e">
        <f t="shared" si="8"/>
        <v>#N/A</v>
      </c>
    </row>
    <row r="22" spans="1:20" ht="16" x14ac:dyDescent="0.2">
      <c r="A22" s="1">
        <v>21</v>
      </c>
      <c r="B22" s="1" t="s">
        <v>17</v>
      </c>
      <c r="C22" s="1" t="s">
        <v>22</v>
      </c>
      <c r="D22" s="1">
        <v>37.799999999999997</v>
      </c>
      <c r="E22" s="1">
        <v>18.3</v>
      </c>
      <c r="F22" s="1">
        <v>174</v>
      </c>
      <c r="G22" s="1">
        <v>3400</v>
      </c>
      <c r="H22" s="1" t="s">
        <v>20</v>
      </c>
      <c r="I22" s="1">
        <v>2007</v>
      </c>
      <c r="L22">
        <f t="shared" si="0"/>
        <v>174</v>
      </c>
      <c r="M22">
        <f t="shared" si="1"/>
        <v>3400</v>
      </c>
      <c r="N22">
        <f t="shared" si="2"/>
        <v>37.799999999999997</v>
      </c>
      <c r="O22" t="e">
        <f t="shared" si="3"/>
        <v>#N/A</v>
      </c>
      <c r="P22" t="e">
        <f t="shared" si="4"/>
        <v>#N/A</v>
      </c>
      <c r="Q22" t="e">
        <f t="shared" si="5"/>
        <v>#N/A</v>
      </c>
      <c r="R22" t="e">
        <f t="shared" si="6"/>
        <v>#N/A</v>
      </c>
      <c r="S22" t="e">
        <f t="shared" si="7"/>
        <v>#N/A</v>
      </c>
      <c r="T22" t="e">
        <f t="shared" si="8"/>
        <v>#N/A</v>
      </c>
    </row>
    <row r="23" spans="1:20" ht="16" x14ac:dyDescent="0.2">
      <c r="A23" s="1">
        <v>22</v>
      </c>
      <c r="B23" s="1" t="s">
        <v>17</v>
      </c>
      <c r="C23" s="1" t="s">
        <v>22</v>
      </c>
      <c r="D23" s="1">
        <v>37.700000000000003</v>
      </c>
      <c r="E23" s="1">
        <v>18.7</v>
      </c>
      <c r="F23" s="1">
        <v>180</v>
      </c>
      <c r="G23" s="1">
        <v>3600</v>
      </c>
      <c r="H23" s="1" t="s">
        <v>19</v>
      </c>
      <c r="I23" s="1">
        <v>2007</v>
      </c>
      <c r="L23">
        <f t="shared" si="0"/>
        <v>180</v>
      </c>
      <c r="M23">
        <f t="shared" si="1"/>
        <v>3600</v>
      </c>
      <c r="N23">
        <f t="shared" si="2"/>
        <v>37.700000000000003</v>
      </c>
      <c r="O23" t="e">
        <f t="shared" si="3"/>
        <v>#N/A</v>
      </c>
      <c r="P23" t="e">
        <f t="shared" si="4"/>
        <v>#N/A</v>
      </c>
      <c r="Q23" t="e">
        <f t="shared" si="5"/>
        <v>#N/A</v>
      </c>
      <c r="R23" t="e">
        <f t="shared" si="6"/>
        <v>#N/A</v>
      </c>
      <c r="S23" t="e">
        <f t="shared" si="7"/>
        <v>#N/A</v>
      </c>
      <c r="T23" t="e">
        <f t="shared" si="8"/>
        <v>#N/A</v>
      </c>
    </row>
    <row r="24" spans="1:20" ht="16" x14ac:dyDescent="0.2">
      <c r="A24" s="1">
        <v>23</v>
      </c>
      <c r="B24" s="1" t="s">
        <v>17</v>
      </c>
      <c r="C24" s="1" t="s">
        <v>22</v>
      </c>
      <c r="D24" s="1">
        <v>35.9</v>
      </c>
      <c r="E24" s="1">
        <v>19.2</v>
      </c>
      <c r="F24" s="1">
        <v>189</v>
      </c>
      <c r="G24" s="1">
        <v>3800</v>
      </c>
      <c r="H24" s="1" t="s">
        <v>20</v>
      </c>
      <c r="I24" s="1">
        <v>2007</v>
      </c>
      <c r="L24">
        <f t="shared" si="0"/>
        <v>189</v>
      </c>
      <c r="M24">
        <f t="shared" si="1"/>
        <v>3800</v>
      </c>
      <c r="N24">
        <f t="shared" si="2"/>
        <v>35.9</v>
      </c>
      <c r="O24" t="e">
        <f t="shared" si="3"/>
        <v>#N/A</v>
      </c>
      <c r="P24" t="e">
        <f t="shared" si="4"/>
        <v>#N/A</v>
      </c>
      <c r="Q24" t="e">
        <f t="shared" si="5"/>
        <v>#N/A</v>
      </c>
      <c r="R24" t="e">
        <f t="shared" si="6"/>
        <v>#N/A</v>
      </c>
      <c r="S24" t="e">
        <f t="shared" si="7"/>
        <v>#N/A</v>
      </c>
      <c r="T24" t="e">
        <f t="shared" si="8"/>
        <v>#N/A</v>
      </c>
    </row>
    <row r="25" spans="1:20" ht="16" x14ac:dyDescent="0.2">
      <c r="A25" s="1">
        <v>24</v>
      </c>
      <c r="B25" s="1" t="s">
        <v>17</v>
      </c>
      <c r="C25" s="1" t="s">
        <v>22</v>
      </c>
      <c r="D25" s="1">
        <v>38.200000000000003</v>
      </c>
      <c r="E25" s="1">
        <v>18.100000000000001</v>
      </c>
      <c r="F25" s="1">
        <v>185</v>
      </c>
      <c r="G25" s="1">
        <v>3950</v>
      </c>
      <c r="H25" s="1" t="s">
        <v>19</v>
      </c>
      <c r="I25" s="1">
        <v>2007</v>
      </c>
      <c r="L25">
        <f t="shared" si="0"/>
        <v>185</v>
      </c>
      <c r="M25">
        <f t="shared" si="1"/>
        <v>3950</v>
      </c>
      <c r="N25">
        <f t="shared" si="2"/>
        <v>38.200000000000003</v>
      </c>
      <c r="O25" t="e">
        <f t="shared" si="3"/>
        <v>#N/A</v>
      </c>
      <c r="P25" t="e">
        <f t="shared" si="4"/>
        <v>#N/A</v>
      </c>
      <c r="Q25" t="e">
        <f t="shared" si="5"/>
        <v>#N/A</v>
      </c>
      <c r="R25" t="e">
        <f t="shared" si="6"/>
        <v>#N/A</v>
      </c>
      <c r="S25" t="e">
        <f t="shared" si="7"/>
        <v>#N/A</v>
      </c>
      <c r="T25" t="e">
        <f t="shared" si="8"/>
        <v>#N/A</v>
      </c>
    </row>
    <row r="26" spans="1:20" ht="16" x14ac:dyDescent="0.2">
      <c r="A26" s="1">
        <v>25</v>
      </c>
      <c r="B26" s="1" t="s">
        <v>17</v>
      </c>
      <c r="C26" s="1" t="s">
        <v>22</v>
      </c>
      <c r="D26" s="1">
        <v>38.799999999999997</v>
      </c>
      <c r="E26" s="1">
        <v>17.2</v>
      </c>
      <c r="F26" s="1">
        <v>180</v>
      </c>
      <c r="G26" s="1">
        <v>3800</v>
      </c>
      <c r="H26" s="1" t="s">
        <v>19</v>
      </c>
      <c r="I26" s="1">
        <v>2007</v>
      </c>
      <c r="L26">
        <f t="shared" si="0"/>
        <v>180</v>
      </c>
      <c r="M26">
        <f t="shared" si="1"/>
        <v>3800</v>
      </c>
      <c r="N26">
        <f t="shared" si="2"/>
        <v>38.799999999999997</v>
      </c>
      <c r="O26" t="e">
        <f t="shared" si="3"/>
        <v>#N/A</v>
      </c>
      <c r="P26" t="e">
        <f t="shared" si="4"/>
        <v>#N/A</v>
      </c>
      <c r="Q26" t="e">
        <f t="shared" si="5"/>
        <v>#N/A</v>
      </c>
      <c r="R26" t="e">
        <f t="shared" si="6"/>
        <v>#N/A</v>
      </c>
      <c r="S26" t="e">
        <f t="shared" si="7"/>
        <v>#N/A</v>
      </c>
      <c r="T26" t="e">
        <f t="shared" si="8"/>
        <v>#N/A</v>
      </c>
    </row>
    <row r="27" spans="1:20" ht="16" x14ac:dyDescent="0.2">
      <c r="A27" s="1">
        <v>26</v>
      </c>
      <c r="B27" s="1" t="s">
        <v>17</v>
      </c>
      <c r="C27" s="1" t="s">
        <v>22</v>
      </c>
      <c r="D27" s="1">
        <v>35.299999999999997</v>
      </c>
      <c r="E27" s="1">
        <v>18.899999999999999</v>
      </c>
      <c r="F27" s="1">
        <v>187</v>
      </c>
      <c r="G27" s="1">
        <v>3800</v>
      </c>
      <c r="H27" s="1" t="s">
        <v>20</v>
      </c>
      <c r="I27" s="1">
        <v>2007</v>
      </c>
      <c r="L27">
        <f t="shared" si="0"/>
        <v>187</v>
      </c>
      <c r="M27">
        <f t="shared" si="1"/>
        <v>3800</v>
      </c>
      <c r="N27">
        <f t="shared" si="2"/>
        <v>35.299999999999997</v>
      </c>
      <c r="O27" t="e">
        <f t="shared" si="3"/>
        <v>#N/A</v>
      </c>
      <c r="P27" t="e">
        <f t="shared" si="4"/>
        <v>#N/A</v>
      </c>
      <c r="Q27" t="e">
        <f t="shared" si="5"/>
        <v>#N/A</v>
      </c>
      <c r="R27" t="e">
        <f t="shared" si="6"/>
        <v>#N/A</v>
      </c>
      <c r="S27" t="e">
        <f t="shared" si="7"/>
        <v>#N/A</v>
      </c>
      <c r="T27" t="e">
        <f t="shared" si="8"/>
        <v>#N/A</v>
      </c>
    </row>
    <row r="28" spans="1:20" ht="16" x14ac:dyDescent="0.2">
      <c r="A28" s="1">
        <v>27</v>
      </c>
      <c r="B28" s="1" t="s">
        <v>17</v>
      </c>
      <c r="C28" s="1" t="s">
        <v>22</v>
      </c>
      <c r="D28" s="1">
        <v>40.6</v>
      </c>
      <c r="E28" s="1">
        <v>18.600000000000001</v>
      </c>
      <c r="F28" s="1">
        <v>183</v>
      </c>
      <c r="G28" s="1">
        <v>3550</v>
      </c>
      <c r="H28" s="1" t="s">
        <v>19</v>
      </c>
      <c r="I28" s="1">
        <v>2007</v>
      </c>
      <c r="L28">
        <f t="shared" si="0"/>
        <v>183</v>
      </c>
      <c r="M28">
        <f t="shared" si="1"/>
        <v>3550</v>
      </c>
      <c r="N28">
        <f t="shared" si="2"/>
        <v>40.6</v>
      </c>
      <c r="O28" t="e">
        <f t="shared" si="3"/>
        <v>#N/A</v>
      </c>
      <c r="P28" t="e">
        <f t="shared" si="4"/>
        <v>#N/A</v>
      </c>
      <c r="Q28" t="e">
        <f t="shared" si="5"/>
        <v>#N/A</v>
      </c>
      <c r="R28" t="e">
        <f t="shared" si="6"/>
        <v>#N/A</v>
      </c>
      <c r="S28" t="e">
        <f t="shared" si="7"/>
        <v>#N/A</v>
      </c>
      <c r="T28" t="e">
        <f t="shared" si="8"/>
        <v>#N/A</v>
      </c>
    </row>
    <row r="29" spans="1:20" ht="16" x14ac:dyDescent="0.2">
      <c r="A29" s="1">
        <v>28</v>
      </c>
      <c r="B29" s="1" t="s">
        <v>17</v>
      </c>
      <c r="C29" s="1" t="s">
        <v>22</v>
      </c>
      <c r="D29" s="1">
        <v>40.5</v>
      </c>
      <c r="E29" s="1">
        <v>17.899999999999999</v>
      </c>
      <c r="F29" s="1">
        <v>187</v>
      </c>
      <c r="G29" s="1">
        <v>3200</v>
      </c>
      <c r="H29" s="1" t="s">
        <v>20</v>
      </c>
      <c r="I29" s="1">
        <v>2007</v>
      </c>
      <c r="L29">
        <f t="shared" si="0"/>
        <v>187</v>
      </c>
      <c r="M29">
        <f t="shared" si="1"/>
        <v>3200</v>
      </c>
      <c r="N29">
        <f t="shared" si="2"/>
        <v>40.5</v>
      </c>
      <c r="O29" t="e">
        <f t="shared" si="3"/>
        <v>#N/A</v>
      </c>
      <c r="P29" t="e">
        <f t="shared" si="4"/>
        <v>#N/A</v>
      </c>
      <c r="Q29" t="e">
        <f t="shared" si="5"/>
        <v>#N/A</v>
      </c>
      <c r="R29" t="e">
        <f t="shared" si="6"/>
        <v>#N/A</v>
      </c>
      <c r="S29" t="e">
        <f t="shared" si="7"/>
        <v>#N/A</v>
      </c>
      <c r="T29" t="e">
        <f t="shared" si="8"/>
        <v>#N/A</v>
      </c>
    </row>
    <row r="30" spans="1:20" ht="16" x14ac:dyDescent="0.2">
      <c r="A30" s="1">
        <v>29</v>
      </c>
      <c r="B30" s="1" t="s">
        <v>17</v>
      </c>
      <c r="C30" s="1" t="s">
        <v>22</v>
      </c>
      <c r="D30" s="1">
        <v>37.9</v>
      </c>
      <c r="E30" s="1">
        <v>18.600000000000001</v>
      </c>
      <c r="F30" s="1">
        <v>172</v>
      </c>
      <c r="G30" s="1">
        <v>3150</v>
      </c>
      <c r="H30" s="1" t="s">
        <v>20</v>
      </c>
      <c r="I30" s="1">
        <v>2007</v>
      </c>
      <c r="L30">
        <f t="shared" si="0"/>
        <v>172</v>
      </c>
      <c r="M30">
        <f t="shared" si="1"/>
        <v>3150</v>
      </c>
      <c r="N30">
        <f t="shared" si="2"/>
        <v>37.9</v>
      </c>
      <c r="O30" t="e">
        <f t="shared" si="3"/>
        <v>#N/A</v>
      </c>
      <c r="P30" t="e">
        <f t="shared" si="4"/>
        <v>#N/A</v>
      </c>
      <c r="Q30" t="e">
        <f t="shared" si="5"/>
        <v>#N/A</v>
      </c>
      <c r="R30" t="e">
        <f t="shared" si="6"/>
        <v>#N/A</v>
      </c>
      <c r="S30" t="e">
        <f t="shared" si="7"/>
        <v>#N/A</v>
      </c>
      <c r="T30" t="e">
        <f t="shared" si="8"/>
        <v>#N/A</v>
      </c>
    </row>
    <row r="31" spans="1:20" ht="16" x14ac:dyDescent="0.2">
      <c r="A31" s="1">
        <v>30</v>
      </c>
      <c r="B31" s="1" t="s">
        <v>17</v>
      </c>
      <c r="C31" s="1" t="s">
        <v>22</v>
      </c>
      <c r="D31" s="1">
        <v>40.5</v>
      </c>
      <c r="E31" s="1">
        <v>18.899999999999999</v>
      </c>
      <c r="F31" s="1">
        <v>180</v>
      </c>
      <c r="G31" s="1">
        <v>3950</v>
      </c>
      <c r="H31" s="1" t="s">
        <v>19</v>
      </c>
      <c r="I31" s="1">
        <v>2007</v>
      </c>
      <c r="L31">
        <f t="shared" si="0"/>
        <v>180</v>
      </c>
      <c r="M31">
        <f t="shared" si="1"/>
        <v>3950</v>
      </c>
      <c r="N31">
        <f t="shared" si="2"/>
        <v>40.5</v>
      </c>
      <c r="O31" t="e">
        <f t="shared" si="3"/>
        <v>#N/A</v>
      </c>
      <c r="P31" t="e">
        <f t="shared" si="4"/>
        <v>#N/A</v>
      </c>
      <c r="Q31" t="e">
        <f t="shared" si="5"/>
        <v>#N/A</v>
      </c>
      <c r="R31" t="e">
        <f t="shared" si="6"/>
        <v>#N/A</v>
      </c>
      <c r="S31" t="e">
        <f t="shared" si="7"/>
        <v>#N/A</v>
      </c>
      <c r="T31" t="e">
        <f t="shared" si="8"/>
        <v>#N/A</v>
      </c>
    </row>
    <row r="32" spans="1:20" ht="16" x14ac:dyDescent="0.2">
      <c r="A32" s="1">
        <v>31</v>
      </c>
      <c r="B32" s="1" t="s">
        <v>17</v>
      </c>
      <c r="C32" s="1" t="s">
        <v>23</v>
      </c>
      <c r="D32" s="1">
        <v>39.5</v>
      </c>
      <c r="E32" s="1">
        <v>16.7</v>
      </c>
      <c r="F32" s="1">
        <v>178</v>
      </c>
      <c r="G32" s="1">
        <v>3250</v>
      </c>
      <c r="H32" s="1" t="s">
        <v>20</v>
      </c>
      <c r="I32" s="1">
        <v>2007</v>
      </c>
      <c r="L32">
        <f t="shared" si="0"/>
        <v>178</v>
      </c>
      <c r="M32">
        <f t="shared" si="1"/>
        <v>3250</v>
      </c>
      <c r="N32">
        <f t="shared" si="2"/>
        <v>39.5</v>
      </c>
      <c r="O32" t="e">
        <f t="shared" si="3"/>
        <v>#N/A</v>
      </c>
      <c r="P32" t="e">
        <f t="shared" si="4"/>
        <v>#N/A</v>
      </c>
      <c r="Q32" t="e">
        <f t="shared" si="5"/>
        <v>#N/A</v>
      </c>
      <c r="R32" t="e">
        <f t="shared" si="6"/>
        <v>#N/A</v>
      </c>
      <c r="S32" t="e">
        <f t="shared" si="7"/>
        <v>#N/A</v>
      </c>
      <c r="T32" t="e">
        <f t="shared" si="8"/>
        <v>#N/A</v>
      </c>
    </row>
    <row r="33" spans="1:20" ht="16" x14ac:dyDescent="0.2">
      <c r="A33" s="1">
        <v>32</v>
      </c>
      <c r="B33" s="1" t="s">
        <v>17</v>
      </c>
      <c r="C33" s="1" t="s">
        <v>23</v>
      </c>
      <c r="D33" s="1">
        <v>37.200000000000003</v>
      </c>
      <c r="E33" s="1">
        <v>18.100000000000001</v>
      </c>
      <c r="F33" s="1">
        <v>178</v>
      </c>
      <c r="G33" s="1">
        <v>3900</v>
      </c>
      <c r="H33" s="1" t="s">
        <v>19</v>
      </c>
      <c r="I33" s="1">
        <v>2007</v>
      </c>
      <c r="L33">
        <f t="shared" si="0"/>
        <v>178</v>
      </c>
      <c r="M33">
        <f t="shared" si="1"/>
        <v>3900</v>
      </c>
      <c r="N33">
        <f t="shared" si="2"/>
        <v>37.200000000000003</v>
      </c>
      <c r="O33" t="e">
        <f t="shared" si="3"/>
        <v>#N/A</v>
      </c>
      <c r="P33" t="e">
        <f t="shared" si="4"/>
        <v>#N/A</v>
      </c>
      <c r="Q33" t="e">
        <f t="shared" si="5"/>
        <v>#N/A</v>
      </c>
      <c r="R33" t="e">
        <f t="shared" si="6"/>
        <v>#N/A</v>
      </c>
      <c r="S33" t="e">
        <f t="shared" si="7"/>
        <v>#N/A</v>
      </c>
      <c r="T33" t="e">
        <f t="shared" si="8"/>
        <v>#N/A</v>
      </c>
    </row>
    <row r="34" spans="1:20" ht="16" x14ac:dyDescent="0.2">
      <c r="A34" s="1">
        <v>33</v>
      </c>
      <c r="B34" s="1" t="s">
        <v>17</v>
      </c>
      <c r="C34" s="1" t="s">
        <v>23</v>
      </c>
      <c r="D34" s="1">
        <v>39.5</v>
      </c>
      <c r="E34" s="1">
        <v>17.8</v>
      </c>
      <c r="F34" s="1">
        <v>188</v>
      </c>
      <c r="G34" s="1">
        <v>3300</v>
      </c>
      <c r="H34" s="1" t="s">
        <v>20</v>
      </c>
      <c r="I34" s="1">
        <v>2007</v>
      </c>
      <c r="L34">
        <f t="shared" si="0"/>
        <v>188</v>
      </c>
      <c r="M34">
        <f t="shared" si="1"/>
        <v>3300</v>
      </c>
      <c r="N34">
        <f t="shared" si="2"/>
        <v>39.5</v>
      </c>
      <c r="O34" t="e">
        <f t="shared" si="3"/>
        <v>#N/A</v>
      </c>
      <c r="P34" t="e">
        <f t="shared" si="4"/>
        <v>#N/A</v>
      </c>
      <c r="Q34" t="e">
        <f t="shared" si="5"/>
        <v>#N/A</v>
      </c>
      <c r="R34" t="e">
        <f t="shared" si="6"/>
        <v>#N/A</v>
      </c>
      <c r="S34" t="e">
        <f t="shared" si="7"/>
        <v>#N/A</v>
      </c>
      <c r="T34" t="e">
        <f t="shared" si="8"/>
        <v>#N/A</v>
      </c>
    </row>
    <row r="35" spans="1:20" ht="16" x14ac:dyDescent="0.2">
      <c r="A35" s="1">
        <v>34</v>
      </c>
      <c r="B35" s="1" t="s">
        <v>17</v>
      </c>
      <c r="C35" s="1" t="s">
        <v>23</v>
      </c>
      <c r="D35" s="1">
        <v>40.9</v>
      </c>
      <c r="E35" s="1">
        <v>18.899999999999999</v>
      </c>
      <c r="F35" s="1">
        <v>184</v>
      </c>
      <c r="G35" s="1">
        <v>3900</v>
      </c>
      <c r="H35" s="1" t="s">
        <v>19</v>
      </c>
      <c r="I35" s="1">
        <v>2007</v>
      </c>
      <c r="L35">
        <f t="shared" si="0"/>
        <v>184</v>
      </c>
      <c r="M35">
        <f t="shared" si="1"/>
        <v>3900</v>
      </c>
      <c r="N35">
        <f t="shared" si="2"/>
        <v>40.9</v>
      </c>
      <c r="O35" t="e">
        <f t="shared" si="3"/>
        <v>#N/A</v>
      </c>
      <c r="P35" t="e">
        <f t="shared" si="4"/>
        <v>#N/A</v>
      </c>
      <c r="Q35" t="e">
        <f t="shared" si="5"/>
        <v>#N/A</v>
      </c>
      <c r="R35" t="e">
        <f t="shared" si="6"/>
        <v>#N/A</v>
      </c>
      <c r="S35" t="e">
        <f t="shared" si="7"/>
        <v>#N/A</v>
      </c>
      <c r="T35" t="e">
        <f t="shared" si="8"/>
        <v>#N/A</v>
      </c>
    </row>
    <row r="36" spans="1:20" ht="16" x14ac:dyDescent="0.2">
      <c r="A36" s="1">
        <v>35</v>
      </c>
      <c r="B36" s="1" t="s">
        <v>17</v>
      </c>
      <c r="C36" s="1" t="s">
        <v>23</v>
      </c>
      <c r="D36" s="1">
        <v>36.4</v>
      </c>
      <c r="E36" s="1">
        <v>17</v>
      </c>
      <c r="F36" s="1">
        <v>195</v>
      </c>
      <c r="G36" s="1">
        <v>3325</v>
      </c>
      <c r="H36" s="1" t="s">
        <v>20</v>
      </c>
      <c r="I36" s="1">
        <v>2007</v>
      </c>
      <c r="L36">
        <f t="shared" si="0"/>
        <v>195</v>
      </c>
      <c r="M36">
        <f t="shared" si="1"/>
        <v>3325</v>
      </c>
      <c r="N36">
        <f t="shared" si="2"/>
        <v>36.4</v>
      </c>
      <c r="O36" t="e">
        <f t="shared" si="3"/>
        <v>#N/A</v>
      </c>
      <c r="P36" t="e">
        <f t="shared" si="4"/>
        <v>#N/A</v>
      </c>
      <c r="Q36" t="e">
        <f t="shared" si="5"/>
        <v>#N/A</v>
      </c>
      <c r="R36" t="e">
        <f t="shared" si="6"/>
        <v>#N/A</v>
      </c>
      <c r="S36" t="e">
        <f t="shared" si="7"/>
        <v>#N/A</v>
      </c>
      <c r="T36" t="e">
        <f t="shared" si="8"/>
        <v>#N/A</v>
      </c>
    </row>
    <row r="37" spans="1:20" ht="16" x14ac:dyDescent="0.2">
      <c r="A37" s="1">
        <v>36</v>
      </c>
      <c r="B37" s="1" t="s">
        <v>17</v>
      </c>
      <c r="C37" s="1" t="s">
        <v>23</v>
      </c>
      <c r="D37" s="1">
        <v>39.200000000000003</v>
      </c>
      <c r="E37" s="1">
        <v>21.1</v>
      </c>
      <c r="F37" s="1">
        <v>196</v>
      </c>
      <c r="G37" s="1">
        <v>4150</v>
      </c>
      <c r="H37" s="1" t="s">
        <v>19</v>
      </c>
      <c r="I37" s="1">
        <v>2007</v>
      </c>
      <c r="L37">
        <f t="shared" si="0"/>
        <v>196</v>
      </c>
      <c r="M37">
        <f t="shared" si="1"/>
        <v>4150</v>
      </c>
      <c r="N37">
        <f t="shared" si="2"/>
        <v>39.200000000000003</v>
      </c>
      <c r="O37" t="e">
        <f t="shared" si="3"/>
        <v>#N/A</v>
      </c>
      <c r="P37" t="e">
        <f t="shared" si="4"/>
        <v>#N/A</v>
      </c>
      <c r="Q37" t="e">
        <f t="shared" si="5"/>
        <v>#N/A</v>
      </c>
      <c r="R37" t="e">
        <f t="shared" si="6"/>
        <v>#N/A</v>
      </c>
      <c r="S37" t="e">
        <f t="shared" si="7"/>
        <v>#N/A</v>
      </c>
      <c r="T37" t="e">
        <f t="shared" si="8"/>
        <v>#N/A</v>
      </c>
    </row>
    <row r="38" spans="1:20" ht="16" x14ac:dyDescent="0.2">
      <c r="A38" s="1">
        <v>37</v>
      </c>
      <c r="B38" s="1" t="s">
        <v>17</v>
      </c>
      <c r="C38" s="1" t="s">
        <v>23</v>
      </c>
      <c r="D38" s="1">
        <v>38.799999999999997</v>
      </c>
      <c r="E38" s="1">
        <v>20</v>
      </c>
      <c r="F38" s="1">
        <v>190</v>
      </c>
      <c r="G38" s="1">
        <v>3950</v>
      </c>
      <c r="H38" s="1" t="s">
        <v>19</v>
      </c>
      <c r="I38" s="1">
        <v>2007</v>
      </c>
      <c r="L38">
        <f t="shared" si="0"/>
        <v>190</v>
      </c>
      <c r="M38">
        <f t="shared" si="1"/>
        <v>3950</v>
      </c>
      <c r="N38">
        <f t="shared" si="2"/>
        <v>38.799999999999997</v>
      </c>
      <c r="O38" t="e">
        <f t="shared" si="3"/>
        <v>#N/A</v>
      </c>
      <c r="P38" t="e">
        <f t="shared" si="4"/>
        <v>#N/A</v>
      </c>
      <c r="Q38" t="e">
        <f t="shared" si="5"/>
        <v>#N/A</v>
      </c>
      <c r="R38" t="e">
        <f t="shared" si="6"/>
        <v>#N/A</v>
      </c>
      <c r="S38" t="e">
        <f t="shared" si="7"/>
        <v>#N/A</v>
      </c>
      <c r="T38" t="e">
        <f t="shared" si="8"/>
        <v>#N/A</v>
      </c>
    </row>
    <row r="39" spans="1:20" ht="16" x14ac:dyDescent="0.2">
      <c r="A39" s="1">
        <v>38</v>
      </c>
      <c r="B39" s="1" t="s">
        <v>17</v>
      </c>
      <c r="C39" s="1" t="s">
        <v>23</v>
      </c>
      <c r="D39" s="1">
        <v>42.2</v>
      </c>
      <c r="E39" s="1">
        <v>18.5</v>
      </c>
      <c r="F39" s="1">
        <v>180</v>
      </c>
      <c r="G39" s="1">
        <v>3550</v>
      </c>
      <c r="H39" s="1" t="s">
        <v>20</v>
      </c>
      <c r="I39" s="1">
        <v>2007</v>
      </c>
      <c r="L39">
        <f t="shared" si="0"/>
        <v>180</v>
      </c>
      <c r="M39">
        <f t="shared" si="1"/>
        <v>3550</v>
      </c>
      <c r="N39">
        <f t="shared" si="2"/>
        <v>42.2</v>
      </c>
      <c r="O39" t="e">
        <f t="shared" si="3"/>
        <v>#N/A</v>
      </c>
      <c r="P39" t="e">
        <f t="shared" si="4"/>
        <v>#N/A</v>
      </c>
      <c r="Q39" t="e">
        <f t="shared" si="5"/>
        <v>#N/A</v>
      </c>
      <c r="R39" t="e">
        <f t="shared" si="6"/>
        <v>#N/A</v>
      </c>
      <c r="S39" t="e">
        <f t="shared" si="7"/>
        <v>#N/A</v>
      </c>
      <c r="T39" t="e">
        <f t="shared" si="8"/>
        <v>#N/A</v>
      </c>
    </row>
    <row r="40" spans="1:20" ht="16" x14ac:dyDescent="0.2">
      <c r="A40" s="1">
        <v>39</v>
      </c>
      <c r="B40" s="1" t="s">
        <v>17</v>
      </c>
      <c r="C40" s="1" t="s">
        <v>23</v>
      </c>
      <c r="D40" s="1">
        <v>37.6</v>
      </c>
      <c r="E40" s="1">
        <v>19.3</v>
      </c>
      <c r="F40" s="1">
        <v>181</v>
      </c>
      <c r="G40" s="1">
        <v>3300</v>
      </c>
      <c r="H40" s="1" t="s">
        <v>20</v>
      </c>
      <c r="I40" s="1">
        <v>2007</v>
      </c>
      <c r="L40">
        <f t="shared" si="0"/>
        <v>181</v>
      </c>
      <c r="M40">
        <f t="shared" si="1"/>
        <v>3300</v>
      </c>
      <c r="N40">
        <f t="shared" si="2"/>
        <v>37.6</v>
      </c>
      <c r="O40" t="e">
        <f t="shared" si="3"/>
        <v>#N/A</v>
      </c>
      <c r="P40" t="e">
        <f t="shared" si="4"/>
        <v>#N/A</v>
      </c>
      <c r="Q40" t="e">
        <f t="shared" si="5"/>
        <v>#N/A</v>
      </c>
      <c r="R40" t="e">
        <f t="shared" si="6"/>
        <v>#N/A</v>
      </c>
      <c r="S40" t="e">
        <f t="shared" si="7"/>
        <v>#N/A</v>
      </c>
      <c r="T40" t="e">
        <f t="shared" si="8"/>
        <v>#N/A</v>
      </c>
    </row>
    <row r="41" spans="1:20" ht="16" x14ac:dyDescent="0.2">
      <c r="A41" s="1">
        <v>40</v>
      </c>
      <c r="B41" s="1" t="s">
        <v>17</v>
      </c>
      <c r="C41" s="1" t="s">
        <v>23</v>
      </c>
      <c r="D41" s="1">
        <v>39.799999999999997</v>
      </c>
      <c r="E41" s="1">
        <v>19.100000000000001</v>
      </c>
      <c r="F41" s="1">
        <v>184</v>
      </c>
      <c r="G41" s="1">
        <v>4650</v>
      </c>
      <c r="H41" s="1" t="s">
        <v>19</v>
      </c>
      <c r="I41" s="1">
        <v>2007</v>
      </c>
      <c r="L41">
        <f t="shared" si="0"/>
        <v>184</v>
      </c>
      <c r="M41">
        <f t="shared" si="1"/>
        <v>4650</v>
      </c>
      <c r="N41">
        <f t="shared" si="2"/>
        <v>39.799999999999997</v>
      </c>
      <c r="O41" t="e">
        <f t="shared" si="3"/>
        <v>#N/A</v>
      </c>
      <c r="P41" t="e">
        <f t="shared" si="4"/>
        <v>#N/A</v>
      </c>
      <c r="Q41" t="e">
        <f t="shared" si="5"/>
        <v>#N/A</v>
      </c>
      <c r="R41" t="e">
        <f t="shared" si="6"/>
        <v>#N/A</v>
      </c>
      <c r="S41" t="e">
        <f t="shared" si="7"/>
        <v>#N/A</v>
      </c>
      <c r="T41" t="e">
        <f t="shared" si="8"/>
        <v>#N/A</v>
      </c>
    </row>
    <row r="42" spans="1:20" ht="16" x14ac:dyDescent="0.2">
      <c r="A42" s="1">
        <v>41</v>
      </c>
      <c r="B42" s="1" t="s">
        <v>17</v>
      </c>
      <c r="C42" s="1" t="s">
        <v>23</v>
      </c>
      <c r="D42" s="1">
        <v>36.5</v>
      </c>
      <c r="E42" s="1">
        <v>18</v>
      </c>
      <c r="F42" s="1">
        <v>182</v>
      </c>
      <c r="G42" s="1">
        <v>3150</v>
      </c>
      <c r="H42" s="1" t="s">
        <v>20</v>
      </c>
      <c r="I42" s="1">
        <v>2007</v>
      </c>
      <c r="L42">
        <f t="shared" si="0"/>
        <v>182</v>
      </c>
      <c r="M42">
        <f t="shared" si="1"/>
        <v>3150</v>
      </c>
      <c r="N42">
        <f t="shared" si="2"/>
        <v>36.5</v>
      </c>
      <c r="O42" t="e">
        <f t="shared" si="3"/>
        <v>#N/A</v>
      </c>
      <c r="P42" t="e">
        <f t="shared" si="4"/>
        <v>#N/A</v>
      </c>
      <c r="Q42" t="e">
        <f t="shared" si="5"/>
        <v>#N/A</v>
      </c>
      <c r="R42" t="e">
        <f t="shared" si="6"/>
        <v>#N/A</v>
      </c>
      <c r="S42" t="e">
        <f t="shared" si="7"/>
        <v>#N/A</v>
      </c>
      <c r="T42" t="e">
        <f t="shared" si="8"/>
        <v>#N/A</v>
      </c>
    </row>
    <row r="43" spans="1:20" ht="16" x14ac:dyDescent="0.2">
      <c r="A43" s="1">
        <v>42</v>
      </c>
      <c r="B43" s="1" t="s">
        <v>17</v>
      </c>
      <c r="C43" s="1" t="s">
        <v>23</v>
      </c>
      <c r="D43" s="1">
        <v>40.799999999999997</v>
      </c>
      <c r="E43" s="1">
        <v>18.399999999999999</v>
      </c>
      <c r="F43" s="1">
        <v>195</v>
      </c>
      <c r="G43" s="1">
        <v>3900</v>
      </c>
      <c r="H43" s="1" t="s">
        <v>19</v>
      </c>
      <c r="I43" s="1">
        <v>2007</v>
      </c>
      <c r="L43">
        <f t="shared" si="0"/>
        <v>195</v>
      </c>
      <c r="M43">
        <f t="shared" si="1"/>
        <v>3900</v>
      </c>
      <c r="N43">
        <f t="shared" si="2"/>
        <v>40.799999999999997</v>
      </c>
      <c r="O43" t="e">
        <f t="shared" si="3"/>
        <v>#N/A</v>
      </c>
      <c r="P43" t="e">
        <f t="shared" si="4"/>
        <v>#N/A</v>
      </c>
      <c r="Q43" t="e">
        <f t="shared" si="5"/>
        <v>#N/A</v>
      </c>
      <c r="R43" t="e">
        <f t="shared" si="6"/>
        <v>#N/A</v>
      </c>
      <c r="S43" t="e">
        <f t="shared" si="7"/>
        <v>#N/A</v>
      </c>
      <c r="T43" t="e">
        <f t="shared" si="8"/>
        <v>#N/A</v>
      </c>
    </row>
    <row r="44" spans="1:20" ht="16" x14ac:dyDescent="0.2">
      <c r="A44" s="1">
        <v>43</v>
      </c>
      <c r="B44" s="1" t="s">
        <v>17</v>
      </c>
      <c r="C44" s="1" t="s">
        <v>23</v>
      </c>
      <c r="D44" s="1">
        <v>36</v>
      </c>
      <c r="E44" s="1">
        <v>18.5</v>
      </c>
      <c r="F44" s="1">
        <v>186</v>
      </c>
      <c r="G44" s="1">
        <v>3100</v>
      </c>
      <c r="H44" s="1" t="s">
        <v>20</v>
      </c>
      <c r="I44" s="1">
        <v>2007</v>
      </c>
      <c r="L44">
        <f t="shared" si="0"/>
        <v>186</v>
      </c>
      <c r="M44">
        <f t="shared" si="1"/>
        <v>3100</v>
      </c>
      <c r="N44">
        <f t="shared" si="2"/>
        <v>36</v>
      </c>
      <c r="O44" t="e">
        <f t="shared" si="3"/>
        <v>#N/A</v>
      </c>
      <c r="P44" t="e">
        <f t="shared" si="4"/>
        <v>#N/A</v>
      </c>
      <c r="Q44" t="e">
        <f t="shared" si="5"/>
        <v>#N/A</v>
      </c>
      <c r="R44" t="e">
        <f t="shared" si="6"/>
        <v>#N/A</v>
      </c>
      <c r="S44" t="e">
        <f t="shared" si="7"/>
        <v>#N/A</v>
      </c>
      <c r="T44" t="e">
        <f t="shared" si="8"/>
        <v>#N/A</v>
      </c>
    </row>
    <row r="45" spans="1:20" ht="16" x14ac:dyDescent="0.2">
      <c r="A45" s="1">
        <v>44</v>
      </c>
      <c r="B45" s="1" t="s">
        <v>17</v>
      </c>
      <c r="C45" s="1" t="s">
        <v>23</v>
      </c>
      <c r="D45" s="1">
        <v>44.1</v>
      </c>
      <c r="E45" s="1">
        <v>19.7</v>
      </c>
      <c r="F45" s="1">
        <v>196</v>
      </c>
      <c r="G45" s="1">
        <v>4400</v>
      </c>
      <c r="H45" s="1" t="s">
        <v>19</v>
      </c>
      <c r="I45" s="1">
        <v>2007</v>
      </c>
      <c r="L45">
        <f t="shared" si="0"/>
        <v>196</v>
      </c>
      <c r="M45">
        <f t="shared" si="1"/>
        <v>4400</v>
      </c>
      <c r="N45">
        <f t="shared" si="2"/>
        <v>44.1</v>
      </c>
      <c r="O45" t="e">
        <f t="shared" si="3"/>
        <v>#N/A</v>
      </c>
      <c r="P45" t="e">
        <f t="shared" si="4"/>
        <v>#N/A</v>
      </c>
      <c r="Q45" t="e">
        <f t="shared" si="5"/>
        <v>#N/A</v>
      </c>
      <c r="R45" t="e">
        <f t="shared" si="6"/>
        <v>#N/A</v>
      </c>
      <c r="S45" t="e">
        <f t="shared" si="7"/>
        <v>#N/A</v>
      </c>
      <c r="T45" t="e">
        <f t="shared" si="8"/>
        <v>#N/A</v>
      </c>
    </row>
    <row r="46" spans="1:20" ht="16" x14ac:dyDescent="0.2">
      <c r="A46" s="1">
        <v>45</v>
      </c>
      <c r="B46" s="1" t="s">
        <v>17</v>
      </c>
      <c r="C46" s="1" t="s">
        <v>23</v>
      </c>
      <c r="D46" s="1">
        <v>37</v>
      </c>
      <c r="E46" s="1">
        <v>16.899999999999999</v>
      </c>
      <c r="F46" s="1">
        <v>185</v>
      </c>
      <c r="G46" s="1">
        <v>3000</v>
      </c>
      <c r="H46" s="1" t="s">
        <v>20</v>
      </c>
      <c r="I46" s="1">
        <v>2007</v>
      </c>
      <c r="L46">
        <f t="shared" si="0"/>
        <v>185</v>
      </c>
      <c r="M46">
        <f t="shared" si="1"/>
        <v>3000</v>
      </c>
      <c r="N46">
        <f t="shared" si="2"/>
        <v>37</v>
      </c>
      <c r="O46" t="e">
        <f t="shared" si="3"/>
        <v>#N/A</v>
      </c>
      <c r="P46" t="e">
        <f t="shared" si="4"/>
        <v>#N/A</v>
      </c>
      <c r="Q46" t="e">
        <f t="shared" si="5"/>
        <v>#N/A</v>
      </c>
      <c r="R46" t="e">
        <f t="shared" si="6"/>
        <v>#N/A</v>
      </c>
      <c r="S46" t="e">
        <f t="shared" si="7"/>
        <v>#N/A</v>
      </c>
      <c r="T46" t="e">
        <f t="shared" si="8"/>
        <v>#N/A</v>
      </c>
    </row>
    <row r="47" spans="1:20" ht="16" x14ac:dyDescent="0.2">
      <c r="A47" s="1">
        <v>46</v>
      </c>
      <c r="B47" s="1" t="s">
        <v>17</v>
      </c>
      <c r="C47" s="1" t="s">
        <v>23</v>
      </c>
      <c r="D47" s="1">
        <v>39.6</v>
      </c>
      <c r="E47" s="1">
        <v>18.8</v>
      </c>
      <c r="F47" s="1">
        <v>190</v>
      </c>
      <c r="G47" s="1">
        <v>4600</v>
      </c>
      <c r="H47" s="1" t="s">
        <v>19</v>
      </c>
      <c r="I47" s="1">
        <v>2007</v>
      </c>
      <c r="L47">
        <f t="shared" si="0"/>
        <v>190</v>
      </c>
      <c r="M47">
        <f t="shared" si="1"/>
        <v>4600</v>
      </c>
      <c r="N47">
        <f t="shared" si="2"/>
        <v>39.6</v>
      </c>
      <c r="O47" t="e">
        <f t="shared" si="3"/>
        <v>#N/A</v>
      </c>
      <c r="P47" t="e">
        <f t="shared" si="4"/>
        <v>#N/A</v>
      </c>
      <c r="Q47" t="e">
        <f t="shared" si="5"/>
        <v>#N/A</v>
      </c>
      <c r="R47" t="e">
        <f t="shared" si="6"/>
        <v>#N/A</v>
      </c>
      <c r="S47" t="e">
        <f t="shared" si="7"/>
        <v>#N/A</v>
      </c>
      <c r="T47" t="e">
        <f t="shared" si="8"/>
        <v>#N/A</v>
      </c>
    </row>
    <row r="48" spans="1:20" ht="16" x14ac:dyDescent="0.2">
      <c r="A48" s="1">
        <v>47</v>
      </c>
      <c r="B48" s="1" t="s">
        <v>17</v>
      </c>
      <c r="C48" s="1" t="s">
        <v>23</v>
      </c>
      <c r="D48" s="1">
        <v>41.1</v>
      </c>
      <c r="E48" s="1">
        <v>19</v>
      </c>
      <c r="F48" s="1">
        <v>182</v>
      </c>
      <c r="G48" s="1">
        <v>3425</v>
      </c>
      <c r="H48" s="1" t="s">
        <v>19</v>
      </c>
      <c r="I48" s="1">
        <v>2007</v>
      </c>
      <c r="L48">
        <f t="shared" si="0"/>
        <v>182</v>
      </c>
      <c r="M48">
        <f t="shared" si="1"/>
        <v>3425</v>
      </c>
      <c r="N48">
        <f t="shared" si="2"/>
        <v>41.1</v>
      </c>
      <c r="O48" t="e">
        <f t="shared" si="3"/>
        <v>#N/A</v>
      </c>
      <c r="P48" t="e">
        <f t="shared" si="4"/>
        <v>#N/A</v>
      </c>
      <c r="Q48" t="e">
        <f t="shared" si="5"/>
        <v>#N/A</v>
      </c>
      <c r="R48" t="e">
        <f t="shared" si="6"/>
        <v>#N/A</v>
      </c>
      <c r="S48" t="e">
        <f t="shared" si="7"/>
        <v>#N/A</v>
      </c>
      <c r="T48" t="e">
        <f t="shared" si="8"/>
        <v>#N/A</v>
      </c>
    </row>
    <row r="49" spans="1:20" ht="16" x14ac:dyDescent="0.2">
      <c r="A49" s="1">
        <v>48</v>
      </c>
      <c r="B49" s="1" t="s">
        <v>17</v>
      </c>
      <c r="C49" s="1" t="s">
        <v>23</v>
      </c>
      <c r="D49" s="1">
        <v>37.5</v>
      </c>
      <c r="E49" s="1">
        <v>18.899999999999999</v>
      </c>
      <c r="F49" s="1">
        <v>179</v>
      </c>
      <c r="G49" s="1">
        <v>2975</v>
      </c>
      <c r="H49" s="1" t="s">
        <v>21</v>
      </c>
      <c r="I49" s="1">
        <v>2007</v>
      </c>
      <c r="L49">
        <f t="shared" si="0"/>
        <v>179</v>
      </c>
      <c r="M49">
        <f t="shared" si="1"/>
        <v>2975</v>
      </c>
      <c r="N49">
        <f t="shared" si="2"/>
        <v>37.5</v>
      </c>
      <c r="O49" t="e">
        <f t="shared" si="3"/>
        <v>#N/A</v>
      </c>
      <c r="P49" t="e">
        <f t="shared" si="4"/>
        <v>#N/A</v>
      </c>
      <c r="Q49" t="e">
        <f t="shared" si="5"/>
        <v>#N/A</v>
      </c>
      <c r="R49" t="e">
        <f t="shared" si="6"/>
        <v>#N/A</v>
      </c>
      <c r="S49" t="e">
        <f t="shared" si="7"/>
        <v>#N/A</v>
      </c>
      <c r="T49" t="e">
        <f t="shared" si="8"/>
        <v>#N/A</v>
      </c>
    </row>
    <row r="50" spans="1:20" ht="16" x14ac:dyDescent="0.2">
      <c r="A50" s="1">
        <v>49</v>
      </c>
      <c r="B50" s="1" t="s">
        <v>17</v>
      </c>
      <c r="C50" s="1" t="s">
        <v>23</v>
      </c>
      <c r="D50" s="1">
        <v>36</v>
      </c>
      <c r="E50" s="1">
        <v>17.899999999999999</v>
      </c>
      <c r="F50" s="1">
        <v>190</v>
      </c>
      <c r="G50" s="1">
        <v>3450</v>
      </c>
      <c r="H50" s="1" t="s">
        <v>20</v>
      </c>
      <c r="I50" s="1">
        <v>2007</v>
      </c>
      <c r="L50">
        <f t="shared" si="0"/>
        <v>190</v>
      </c>
      <c r="M50">
        <f t="shared" si="1"/>
        <v>3450</v>
      </c>
      <c r="N50">
        <f t="shared" si="2"/>
        <v>36</v>
      </c>
      <c r="O50" t="e">
        <f t="shared" si="3"/>
        <v>#N/A</v>
      </c>
      <c r="P50" t="e">
        <f t="shared" si="4"/>
        <v>#N/A</v>
      </c>
      <c r="Q50" t="e">
        <f t="shared" si="5"/>
        <v>#N/A</v>
      </c>
      <c r="R50" t="e">
        <f t="shared" si="6"/>
        <v>#N/A</v>
      </c>
      <c r="S50" t="e">
        <f t="shared" si="7"/>
        <v>#N/A</v>
      </c>
      <c r="T50" t="e">
        <f t="shared" si="8"/>
        <v>#N/A</v>
      </c>
    </row>
    <row r="51" spans="1:20" ht="16" x14ac:dyDescent="0.2">
      <c r="A51" s="1">
        <v>50</v>
      </c>
      <c r="B51" s="1" t="s">
        <v>17</v>
      </c>
      <c r="C51" s="1" t="s">
        <v>23</v>
      </c>
      <c r="D51" s="1">
        <v>42.3</v>
      </c>
      <c r="E51" s="1">
        <v>21.2</v>
      </c>
      <c r="F51" s="1">
        <v>191</v>
      </c>
      <c r="G51" s="1">
        <v>4150</v>
      </c>
      <c r="H51" s="1" t="s">
        <v>19</v>
      </c>
      <c r="I51" s="1">
        <v>2007</v>
      </c>
      <c r="L51">
        <f t="shared" si="0"/>
        <v>191</v>
      </c>
      <c r="M51">
        <f t="shared" si="1"/>
        <v>4150</v>
      </c>
      <c r="N51">
        <f t="shared" si="2"/>
        <v>42.3</v>
      </c>
      <c r="O51" t="e">
        <f t="shared" si="3"/>
        <v>#N/A</v>
      </c>
      <c r="P51" t="e">
        <f t="shared" si="4"/>
        <v>#N/A</v>
      </c>
      <c r="Q51" t="e">
        <f t="shared" si="5"/>
        <v>#N/A</v>
      </c>
      <c r="R51" t="e">
        <f t="shared" si="6"/>
        <v>#N/A</v>
      </c>
      <c r="S51" t="e">
        <f t="shared" si="7"/>
        <v>#N/A</v>
      </c>
      <c r="T51" t="e">
        <f t="shared" si="8"/>
        <v>#N/A</v>
      </c>
    </row>
    <row r="52" spans="1:20" ht="16" x14ac:dyDescent="0.2">
      <c r="A52" s="1">
        <v>51</v>
      </c>
      <c r="B52" s="1" t="s">
        <v>17</v>
      </c>
      <c r="C52" s="1" t="s">
        <v>22</v>
      </c>
      <c r="D52" s="1">
        <v>39.6</v>
      </c>
      <c r="E52" s="1">
        <v>17.7</v>
      </c>
      <c r="F52" s="1">
        <v>186</v>
      </c>
      <c r="G52" s="1">
        <v>3500</v>
      </c>
      <c r="H52" s="1" t="s">
        <v>20</v>
      </c>
      <c r="I52" s="1">
        <v>2008</v>
      </c>
      <c r="L52">
        <f t="shared" si="0"/>
        <v>186</v>
      </c>
      <c r="M52">
        <f t="shared" si="1"/>
        <v>3500</v>
      </c>
      <c r="N52">
        <f t="shared" si="2"/>
        <v>39.6</v>
      </c>
      <c r="O52" t="e">
        <f t="shared" si="3"/>
        <v>#N/A</v>
      </c>
      <c r="P52" t="e">
        <f t="shared" si="4"/>
        <v>#N/A</v>
      </c>
      <c r="Q52" t="e">
        <f t="shared" si="5"/>
        <v>#N/A</v>
      </c>
      <c r="R52" t="e">
        <f t="shared" si="6"/>
        <v>#N/A</v>
      </c>
      <c r="S52" t="e">
        <f t="shared" si="7"/>
        <v>#N/A</v>
      </c>
      <c r="T52" t="e">
        <f t="shared" si="8"/>
        <v>#N/A</v>
      </c>
    </row>
    <row r="53" spans="1:20" ht="16" x14ac:dyDescent="0.2">
      <c r="A53" s="1">
        <v>52</v>
      </c>
      <c r="B53" s="1" t="s">
        <v>17</v>
      </c>
      <c r="C53" s="1" t="s">
        <v>22</v>
      </c>
      <c r="D53" s="1">
        <v>40.1</v>
      </c>
      <c r="E53" s="1">
        <v>18.899999999999999</v>
      </c>
      <c r="F53" s="1">
        <v>188</v>
      </c>
      <c r="G53" s="1">
        <v>4300</v>
      </c>
      <c r="H53" s="1" t="s">
        <v>19</v>
      </c>
      <c r="I53" s="1">
        <v>2008</v>
      </c>
      <c r="L53">
        <f t="shared" si="0"/>
        <v>188</v>
      </c>
      <c r="M53">
        <f t="shared" si="1"/>
        <v>4300</v>
      </c>
      <c r="N53">
        <f t="shared" si="2"/>
        <v>40.1</v>
      </c>
      <c r="O53" t="e">
        <f t="shared" si="3"/>
        <v>#N/A</v>
      </c>
      <c r="P53" t="e">
        <f t="shared" si="4"/>
        <v>#N/A</v>
      </c>
      <c r="Q53" t="e">
        <f t="shared" si="5"/>
        <v>#N/A</v>
      </c>
      <c r="R53" t="e">
        <f t="shared" si="6"/>
        <v>#N/A</v>
      </c>
      <c r="S53" t="e">
        <f t="shared" si="7"/>
        <v>#N/A</v>
      </c>
      <c r="T53" t="e">
        <f t="shared" si="8"/>
        <v>#N/A</v>
      </c>
    </row>
    <row r="54" spans="1:20" ht="16" x14ac:dyDescent="0.2">
      <c r="A54" s="1">
        <v>53</v>
      </c>
      <c r="B54" s="1" t="s">
        <v>17</v>
      </c>
      <c r="C54" s="1" t="s">
        <v>22</v>
      </c>
      <c r="D54" s="1">
        <v>35</v>
      </c>
      <c r="E54" s="1">
        <v>17.899999999999999</v>
      </c>
      <c r="F54" s="1">
        <v>190</v>
      </c>
      <c r="G54" s="1">
        <v>3450</v>
      </c>
      <c r="H54" s="1" t="s">
        <v>20</v>
      </c>
      <c r="I54" s="1">
        <v>2008</v>
      </c>
      <c r="L54">
        <f t="shared" si="0"/>
        <v>190</v>
      </c>
      <c r="M54">
        <f t="shared" si="1"/>
        <v>3450</v>
      </c>
      <c r="N54">
        <f t="shared" si="2"/>
        <v>35</v>
      </c>
      <c r="O54" t="e">
        <f t="shared" si="3"/>
        <v>#N/A</v>
      </c>
      <c r="P54" t="e">
        <f t="shared" si="4"/>
        <v>#N/A</v>
      </c>
      <c r="Q54" t="e">
        <f t="shared" si="5"/>
        <v>#N/A</v>
      </c>
      <c r="R54" t="e">
        <f t="shared" si="6"/>
        <v>#N/A</v>
      </c>
      <c r="S54" t="e">
        <f t="shared" si="7"/>
        <v>#N/A</v>
      </c>
      <c r="T54" t="e">
        <f t="shared" si="8"/>
        <v>#N/A</v>
      </c>
    </row>
    <row r="55" spans="1:20" ht="16" x14ac:dyDescent="0.2">
      <c r="A55" s="1">
        <v>54</v>
      </c>
      <c r="B55" s="1" t="s">
        <v>17</v>
      </c>
      <c r="C55" s="1" t="s">
        <v>22</v>
      </c>
      <c r="D55" s="1">
        <v>42</v>
      </c>
      <c r="E55" s="1">
        <v>19.5</v>
      </c>
      <c r="F55" s="1">
        <v>200</v>
      </c>
      <c r="G55" s="1">
        <v>4050</v>
      </c>
      <c r="H55" s="1" t="s">
        <v>19</v>
      </c>
      <c r="I55" s="1">
        <v>2008</v>
      </c>
      <c r="L55">
        <f t="shared" si="0"/>
        <v>200</v>
      </c>
      <c r="M55">
        <f t="shared" si="1"/>
        <v>4050</v>
      </c>
      <c r="N55">
        <f t="shared" si="2"/>
        <v>42</v>
      </c>
      <c r="O55" t="e">
        <f t="shared" si="3"/>
        <v>#N/A</v>
      </c>
      <c r="P55" t="e">
        <f t="shared" si="4"/>
        <v>#N/A</v>
      </c>
      <c r="Q55" t="e">
        <f t="shared" si="5"/>
        <v>#N/A</v>
      </c>
      <c r="R55" t="e">
        <f t="shared" si="6"/>
        <v>#N/A</v>
      </c>
      <c r="S55" t="e">
        <f t="shared" si="7"/>
        <v>#N/A</v>
      </c>
      <c r="T55" t="e">
        <f t="shared" si="8"/>
        <v>#N/A</v>
      </c>
    </row>
    <row r="56" spans="1:20" ht="16" x14ac:dyDescent="0.2">
      <c r="A56" s="1">
        <v>55</v>
      </c>
      <c r="B56" s="1" t="s">
        <v>17</v>
      </c>
      <c r="C56" s="1" t="s">
        <v>22</v>
      </c>
      <c r="D56" s="1">
        <v>34.5</v>
      </c>
      <c r="E56" s="1">
        <v>18.100000000000001</v>
      </c>
      <c r="F56" s="1">
        <v>187</v>
      </c>
      <c r="G56" s="1">
        <v>2900</v>
      </c>
      <c r="H56" s="1" t="s">
        <v>20</v>
      </c>
      <c r="I56" s="1">
        <v>2008</v>
      </c>
      <c r="L56">
        <f t="shared" si="0"/>
        <v>187</v>
      </c>
      <c r="M56">
        <f t="shared" si="1"/>
        <v>2900</v>
      </c>
      <c r="N56">
        <f t="shared" si="2"/>
        <v>34.5</v>
      </c>
      <c r="O56" t="e">
        <f t="shared" si="3"/>
        <v>#N/A</v>
      </c>
      <c r="P56" t="e">
        <f t="shared" si="4"/>
        <v>#N/A</v>
      </c>
      <c r="Q56" t="e">
        <f t="shared" si="5"/>
        <v>#N/A</v>
      </c>
      <c r="R56" t="e">
        <f t="shared" si="6"/>
        <v>#N/A</v>
      </c>
      <c r="S56" t="e">
        <f t="shared" si="7"/>
        <v>#N/A</v>
      </c>
      <c r="T56" t="e">
        <f t="shared" si="8"/>
        <v>#N/A</v>
      </c>
    </row>
    <row r="57" spans="1:20" ht="16" x14ac:dyDescent="0.2">
      <c r="A57" s="1">
        <v>56</v>
      </c>
      <c r="B57" s="1" t="s">
        <v>17</v>
      </c>
      <c r="C57" s="1" t="s">
        <v>22</v>
      </c>
      <c r="D57" s="1">
        <v>41.4</v>
      </c>
      <c r="E57" s="1">
        <v>18.600000000000001</v>
      </c>
      <c r="F57" s="1">
        <v>191</v>
      </c>
      <c r="G57" s="1">
        <v>3700</v>
      </c>
      <c r="H57" s="1" t="s">
        <v>19</v>
      </c>
      <c r="I57" s="1">
        <v>2008</v>
      </c>
      <c r="L57">
        <f t="shared" si="0"/>
        <v>191</v>
      </c>
      <c r="M57">
        <f t="shared" si="1"/>
        <v>3700</v>
      </c>
      <c r="N57">
        <f t="shared" si="2"/>
        <v>41.4</v>
      </c>
      <c r="O57" t="e">
        <f t="shared" si="3"/>
        <v>#N/A</v>
      </c>
      <c r="P57" t="e">
        <f t="shared" si="4"/>
        <v>#N/A</v>
      </c>
      <c r="Q57" t="e">
        <f t="shared" si="5"/>
        <v>#N/A</v>
      </c>
      <c r="R57" t="e">
        <f t="shared" si="6"/>
        <v>#N/A</v>
      </c>
      <c r="S57" t="e">
        <f t="shared" si="7"/>
        <v>#N/A</v>
      </c>
      <c r="T57" t="e">
        <f t="shared" si="8"/>
        <v>#N/A</v>
      </c>
    </row>
    <row r="58" spans="1:20" ht="16" x14ac:dyDescent="0.2">
      <c r="A58" s="1">
        <v>57</v>
      </c>
      <c r="B58" s="1" t="s">
        <v>17</v>
      </c>
      <c r="C58" s="1" t="s">
        <v>22</v>
      </c>
      <c r="D58" s="1">
        <v>39</v>
      </c>
      <c r="E58" s="1">
        <v>17.5</v>
      </c>
      <c r="F58" s="1">
        <v>186</v>
      </c>
      <c r="G58" s="1">
        <v>3550</v>
      </c>
      <c r="H58" s="1" t="s">
        <v>20</v>
      </c>
      <c r="I58" s="1">
        <v>2008</v>
      </c>
      <c r="L58">
        <f t="shared" si="0"/>
        <v>186</v>
      </c>
      <c r="M58">
        <f t="shared" si="1"/>
        <v>3550</v>
      </c>
      <c r="N58">
        <f t="shared" si="2"/>
        <v>39</v>
      </c>
      <c r="O58" t="e">
        <f t="shared" si="3"/>
        <v>#N/A</v>
      </c>
      <c r="P58" t="e">
        <f t="shared" si="4"/>
        <v>#N/A</v>
      </c>
      <c r="Q58" t="e">
        <f t="shared" si="5"/>
        <v>#N/A</v>
      </c>
      <c r="R58" t="e">
        <f t="shared" si="6"/>
        <v>#N/A</v>
      </c>
      <c r="S58" t="e">
        <f t="shared" si="7"/>
        <v>#N/A</v>
      </c>
      <c r="T58" t="e">
        <f t="shared" si="8"/>
        <v>#N/A</v>
      </c>
    </row>
    <row r="59" spans="1:20" ht="16" x14ac:dyDescent="0.2">
      <c r="A59" s="1">
        <v>58</v>
      </c>
      <c r="B59" s="1" t="s">
        <v>17</v>
      </c>
      <c r="C59" s="1" t="s">
        <v>22</v>
      </c>
      <c r="D59" s="1">
        <v>40.6</v>
      </c>
      <c r="E59" s="1">
        <v>18.8</v>
      </c>
      <c r="F59" s="1">
        <v>193</v>
      </c>
      <c r="G59" s="1">
        <v>3800</v>
      </c>
      <c r="H59" s="1" t="s">
        <v>19</v>
      </c>
      <c r="I59" s="1">
        <v>2008</v>
      </c>
      <c r="L59">
        <f t="shared" si="0"/>
        <v>193</v>
      </c>
      <c r="M59">
        <f t="shared" si="1"/>
        <v>3800</v>
      </c>
      <c r="N59">
        <f t="shared" si="2"/>
        <v>40.6</v>
      </c>
      <c r="O59" t="e">
        <f t="shared" si="3"/>
        <v>#N/A</v>
      </c>
      <c r="P59" t="e">
        <f t="shared" si="4"/>
        <v>#N/A</v>
      </c>
      <c r="Q59" t="e">
        <f t="shared" si="5"/>
        <v>#N/A</v>
      </c>
      <c r="R59" t="e">
        <f t="shared" si="6"/>
        <v>#N/A</v>
      </c>
      <c r="S59" t="e">
        <f t="shared" si="7"/>
        <v>#N/A</v>
      </c>
      <c r="T59" t="e">
        <f t="shared" si="8"/>
        <v>#N/A</v>
      </c>
    </row>
    <row r="60" spans="1:20" ht="16" x14ac:dyDescent="0.2">
      <c r="A60" s="1">
        <v>59</v>
      </c>
      <c r="B60" s="1" t="s">
        <v>17</v>
      </c>
      <c r="C60" s="1" t="s">
        <v>22</v>
      </c>
      <c r="D60" s="1">
        <v>36.5</v>
      </c>
      <c r="E60" s="1">
        <v>16.600000000000001</v>
      </c>
      <c r="F60" s="1">
        <v>181</v>
      </c>
      <c r="G60" s="1">
        <v>2850</v>
      </c>
      <c r="H60" s="1" t="s">
        <v>20</v>
      </c>
      <c r="I60" s="1">
        <v>2008</v>
      </c>
      <c r="L60">
        <f t="shared" si="0"/>
        <v>181</v>
      </c>
      <c r="M60">
        <f t="shared" si="1"/>
        <v>2850</v>
      </c>
      <c r="N60">
        <f t="shared" si="2"/>
        <v>36.5</v>
      </c>
      <c r="O60" t="e">
        <f t="shared" si="3"/>
        <v>#N/A</v>
      </c>
      <c r="P60" t="e">
        <f t="shared" si="4"/>
        <v>#N/A</v>
      </c>
      <c r="Q60" t="e">
        <f t="shared" si="5"/>
        <v>#N/A</v>
      </c>
      <c r="R60" t="e">
        <f t="shared" si="6"/>
        <v>#N/A</v>
      </c>
      <c r="S60" t="e">
        <f t="shared" si="7"/>
        <v>#N/A</v>
      </c>
      <c r="T60" t="e">
        <f t="shared" si="8"/>
        <v>#N/A</v>
      </c>
    </row>
    <row r="61" spans="1:20" ht="16" x14ac:dyDescent="0.2">
      <c r="A61" s="1">
        <v>60</v>
      </c>
      <c r="B61" s="1" t="s">
        <v>17</v>
      </c>
      <c r="C61" s="1" t="s">
        <v>22</v>
      </c>
      <c r="D61" s="1">
        <v>37.6</v>
      </c>
      <c r="E61" s="1">
        <v>19.100000000000001</v>
      </c>
      <c r="F61" s="1">
        <v>194</v>
      </c>
      <c r="G61" s="1">
        <v>3750</v>
      </c>
      <c r="H61" s="1" t="s">
        <v>19</v>
      </c>
      <c r="I61" s="1">
        <v>2008</v>
      </c>
      <c r="L61">
        <f t="shared" si="0"/>
        <v>194</v>
      </c>
      <c r="M61">
        <f t="shared" si="1"/>
        <v>3750</v>
      </c>
      <c r="N61">
        <f t="shared" si="2"/>
        <v>37.6</v>
      </c>
      <c r="O61" t="e">
        <f t="shared" si="3"/>
        <v>#N/A</v>
      </c>
      <c r="P61" t="e">
        <f t="shared" si="4"/>
        <v>#N/A</v>
      </c>
      <c r="Q61" t="e">
        <f t="shared" si="5"/>
        <v>#N/A</v>
      </c>
      <c r="R61" t="e">
        <f t="shared" si="6"/>
        <v>#N/A</v>
      </c>
      <c r="S61" t="e">
        <f t="shared" si="7"/>
        <v>#N/A</v>
      </c>
      <c r="T61" t="e">
        <f t="shared" si="8"/>
        <v>#N/A</v>
      </c>
    </row>
    <row r="62" spans="1:20" ht="16" x14ac:dyDescent="0.2">
      <c r="A62" s="1">
        <v>61</v>
      </c>
      <c r="B62" s="1" t="s">
        <v>17</v>
      </c>
      <c r="C62" s="1" t="s">
        <v>22</v>
      </c>
      <c r="D62" s="1">
        <v>35.700000000000003</v>
      </c>
      <c r="E62" s="1">
        <v>16.899999999999999</v>
      </c>
      <c r="F62" s="1">
        <v>185</v>
      </c>
      <c r="G62" s="1">
        <v>3150</v>
      </c>
      <c r="H62" s="1" t="s">
        <v>20</v>
      </c>
      <c r="I62" s="1">
        <v>2008</v>
      </c>
      <c r="L62">
        <f t="shared" si="0"/>
        <v>185</v>
      </c>
      <c r="M62">
        <f t="shared" si="1"/>
        <v>3150</v>
      </c>
      <c r="N62">
        <f t="shared" si="2"/>
        <v>35.700000000000003</v>
      </c>
      <c r="O62" t="e">
        <f t="shared" si="3"/>
        <v>#N/A</v>
      </c>
      <c r="P62" t="e">
        <f t="shared" si="4"/>
        <v>#N/A</v>
      </c>
      <c r="Q62" t="e">
        <f t="shared" si="5"/>
        <v>#N/A</v>
      </c>
      <c r="R62" t="e">
        <f t="shared" si="6"/>
        <v>#N/A</v>
      </c>
      <c r="S62" t="e">
        <f t="shared" si="7"/>
        <v>#N/A</v>
      </c>
      <c r="T62" t="e">
        <f t="shared" si="8"/>
        <v>#N/A</v>
      </c>
    </row>
    <row r="63" spans="1:20" ht="16" x14ac:dyDescent="0.2">
      <c r="A63" s="1">
        <v>62</v>
      </c>
      <c r="B63" s="1" t="s">
        <v>17</v>
      </c>
      <c r="C63" s="1" t="s">
        <v>22</v>
      </c>
      <c r="D63" s="1">
        <v>41.3</v>
      </c>
      <c r="E63" s="1">
        <v>21.1</v>
      </c>
      <c r="F63" s="1">
        <v>195</v>
      </c>
      <c r="G63" s="1">
        <v>4400</v>
      </c>
      <c r="H63" s="1" t="s">
        <v>19</v>
      </c>
      <c r="I63" s="1">
        <v>2008</v>
      </c>
      <c r="L63">
        <f t="shared" si="0"/>
        <v>195</v>
      </c>
      <c r="M63">
        <f t="shared" si="1"/>
        <v>4400</v>
      </c>
      <c r="N63">
        <f t="shared" si="2"/>
        <v>41.3</v>
      </c>
      <c r="O63" t="e">
        <f t="shared" si="3"/>
        <v>#N/A</v>
      </c>
      <c r="P63" t="e">
        <f t="shared" si="4"/>
        <v>#N/A</v>
      </c>
      <c r="Q63" t="e">
        <f t="shared" si="5"/>
        <v>#N/A</v>
      </c>
      <c r="R63" t="e">
        <f t="shared" si="6"/>
        <v>#N/A</v>
      </c>
      <c r="S63" t="e">
        <f t="shared" si="7"/>
        <v>#N/A</v>
      </c>
      <c r="T63" t="e">
        <f t="shared" si="8"/>
        <v>#N/A</v>
      </c>
    </row>
    <row r="64" spans="1:20" ht="16" x14ac:dyDescent="0.2">
      <c r="A64" s="1">
        <v>63</v>
      </c>
      <c r="B64" s="1" t="s">
        <v>17</v>
      </c>
      <c r="C64" s="1" t="s">
        <v>22</v>
      </c>
      <c r="D64" s="1">
        <v>37.6</v>
      </c>
      <c r="E64" s="1">
        <v>17</v>
      </c>
      <c r="F64" s="1">
        <v>185</v>
      </c>
      <c r="G64" s="1">
        <v>3600</v>
      </c>
      <c r="H64" s="1" t="s">
        <v>20</v>
      </c>
      <c r="I64" s="1">
        <v>2008</v>
      </c>
      <c r="L64">
        <f t="shared" si="0"/>
        <v>185</v>
      </c>
      <c r="M64">
        <f t="shared" si="1"/>
        <v>3600</v>
      </c>
      <c r="N64">
        <f t="shared" si="2"/>
        <v>37.6</v>
      </c>
      <c r="O64" t="e">
        <f t="shared" si="3"/>
        <v>#N/A</v>
      </c>
      <c r="P64" t="e">
        <f t="shared" si="4"/>
        <v>#N/A</v>
      </c>
      <c r="Q64" t="e">
        <f t="shared" si="5"/>
        <v>#N/A</v>
      </c>
      <c r="R64" t="e">
        <f t="shared" si="6"/>
        <v>#N/A</v>
      </c>
      <c r="S64" t="e">
        <f t="shared" si="7"/>
        <v>#N/A</v>
      </c>
      <c r="T64" t="e">
        <f t="shared" si="8"/>
        <v>#N/A</v>
      </c>
    </row>
    <row r="65" spans="1:20" ht="16" x14ac:dyDescent="0.2">
      <c r="A65" s="1">
        <v>64</v>
      </c>
      <c r="B65" s="1" t="s">
        <v>17</v>
      </c>
      <c r="C65" s="1" t="s">
        <v>22</v>
      </c>
      <c r="D65" s="1">
        <v>41.1</v>
      </c>
      <c r="E65" s="1">
        <v>18.2</v>
      </c>
      <c r="F65" s="1">
        <v>192</v>
      </c>
      <c r="G65" s="1">
        <v>4050</v>
      </c>
      <c r="H65" s="1" t="s">
        <v>19</v>
      </c>
      <c r="I65" s="1">
        <v>2008</v>
      </c>
      <c r="L65">
        <f t="shared" si="0"/>
        <v>192</v>
      </c>
      <c r="M65">
        <f t="shared" si="1"/>
        <v>4050</v>
      </c>
      <c r="N65">
        <f t="shared" si="2"/>
        <v>41.1</v>
      </c>
      <c r="O65" t="e">
        <f t="shared" si="3"/>
        <v>#N/A</v>
      </c>
      <c r="P65" t="e">
        <f t="shared" si="4"/>
        <v>#N/A</v>
      </c>
      <c r="Q65" t="e">
        <f t="shared" si="5"/>
        <v>#N/A</v>
      </c>
      <c r="R65" t="e">
        <f t="shared" si="6"/>
        <v>#N/A</v>
      </c>
      <c r="S65" t="e">
        <f t="shared" si="7"/>
        <v>#N/A</v>
      </c>
      <c r="T65" t="e">
        <f t="shared" si="8"/>
        <v>#N/A</v>
      </c>
    </row>
    <row r="66" spans="1:20" ht="16" x14ac:dyDescent="0.2">
      <c r="A66" s="1">
        <v>65</v>
      </c>
      <c r="B66" s="1" t="s">
        <v>17</v>
      </c>
      <c r="C66" s="1" t="s">
        <v>22</v>
      </c>
      <c r="D66" s="1">
        <v>36.4</v>
      </c>
      <c r="E66" s="1">
        <v>17.100000000000001</v>
      </c>
      <c r="F66" s="1">
        <v>184</v>
      </c>
      <c r="G66" s="1">
        <v>2850</v>
      </c>
      <c r="H66" s="1" t="s">
        <v>20</v>
      </c>
      <c r="I66" s="1">
        <v>2008</v>
      </c>
      <c r="L66">
        <f t="shared" si="0"/>
        <v>184</v>
      </c>
      <c r="M66">
        <f t="shared" si="1"/>
        <v>2850</v>
      </c>
      <c r="N66">
        <f t="shared" si="2"/>
        <v>36.4</v>
      </c>
      <c r="O66" t="e">
        <f t="shared" si="3"/>
        <v>#N/A</v>
      </c>
      <c r="P66" t="e">
        <f t="shared" si="4"/>
        <v>#N/A</v>
      </c>
      <c r="Q66" t="e">
        <f t="shared" si="5"/>
        <v>#N/A</v>
      </c>
      <c r="R66" t="e">
        <f t="shared" si="6"/>
        <v>#N/A</v>
      </c>
      <c r="S66" t="e">
        <f t="shared" si="7"/>
        <v>#N/A</v>
      </c>
      <c r="T66" t="e">
        <f t="shared" si="8"/>
        <v>#N/A</v>
      </c>
    </row>
    <row r="67" spans="1:20" ht="16" x14ac:dyDescent="0.2">
      <c r="A67" s="1">
        <v>66</v>
      </c>
      <c r="B67" s="1" t="s">
        <v>17</v>
      </c>
      <c r="C67" s="1" t="s">
        <v>22</v>
      </c>
      <c r="D67" s="1">
        <v>41.6</v>
      </c>
      <c r="E67" s="1">
        <v>18</v>
      </c>
      <c r="F67" s="1">
        <v>192</v>
      </c>
      <c r="G67" s="1">
        <v>3950</v>
      </c>
      <c r="H67" s="1" t="s">
        <v>19</v>
      </c>
      <c r="I67" s="1">
        <v>2008</v>
      </c>
      <c r="L67">
        <f t="shared" ref="L67:L130" si="9">IF(TRIM($B67)="Adelie",IFERROR(VALUE($F67),NA()),NA())</f>
        <v>192</v>
      </c>
      <c r="M67">
        <f t="shared" ref="M67:M130" si="10">IF(TRIM(CLEAN(SUBSTITUTE($B67,CHAR(160),"")))="Adelie",IFERROR(VALUE($G67),NA()),NA())</f>
        <v>3950</v>
      </c>
      <c r="N67">
        <f t="shared" ref="N67:N130" si="11">IF(TRIM(CLEAN(SUBSTITUTE($B67,CHAR(160),"")))="Adelie",IF(OR($D67="NA",$D67=""),NA(),VALUE($D67)),NA())</f>
        <v>41.6</v>
      </c>
      <c r="O67" t="e">
        <f t="shared" ref="O67:O130" si="12">IF(TRIM(CLEAN(SUBSTITUTE($B67,CHAR(160),"")))="Chinstrap",IF(OR($F67="NA",$F67=""),NA(),VALUE($F67)),NA())</f>
        <v>#N/A</v>
      </c>
      <c r="P67" t="e">
        <f t="shared" ref="P67:P130" si="13">IF(TRIM(CLEAN(SUBSTITUTE($B67,CHAR(160),"")))="Chinstrap",IF(OR($G67="NA",$G67=""),NA(),VALUE($G67)),NA())</f>
        <v>#N/A</v>
      </c>
      <c r="Q67" t="e">
        <f t="shared" ref="Q67:Q130" si="14">IF(TRIM(CLEAN(SUBSTITUTE($B67,CHAR(160),"")))="Chinstrap",IF(OR($D67="NA",$D67=""),NA(),VALUE($D67)),NA())</f>
        <v>#N/A</v>
      </c>
      <c r="R67" t="e">
        <f t="shared" ref="R67:R130" si="15">IF(TRIM(CLEAN(SUBSTITUTE($B67,CHAR(160),"")))="Gentoo",IF(OR($F67="NA",$F67=""),NA(),VALUE($F67)),NA())</f>
        <v>#N/A</v>
      </c>
      <c r="S67" t="e">
        <f t="shared" ref="S67:S130" si="16">IF(TRIM(CLEAN(SUBSTITUTE($B67,CHAR(160),"")))="Gentoo",IF(OR($G67="NA",$G67=""),NA(),VALUE($G67)),NA())</f>
        <v>#N/A</v>
      </c>
      <c r="T67" t="e">
        <f t="shared" ref="T67:T130" si="17">IF(TRIM(CLEAN(SUBSTITUTE($B67,CHAR(160),"")))="Gentoo",IF(OR($D67="NA",$D67=""),NA(),VALUE($D67)),NA())</f>
        <v>#N/A</v>
      </c>
    </row>
    <row r="68" spans="1:20" ht="16" x14ac:dyDescent="0.2">
      <c r="A68" s="1">
        <v>67</v>
      </c>
      <c r="B68" s="1" t="s">
        <v>17</v>
      </c>
      <c r="C68" s="1" t="s">
        <v>22</v>
      </c>
      <c r="D68" s="1">
        <v>35.5</v>
      </c>
      <c r="E68" s="1">
        <v>16.2</v>
      </c>
      <c r="F68" s="1">
        <v>195</v>
      </c>
      <c r="G68" s="1">
        <v>3350</v>
      </c>
      <c r="H68" s="1" t="s">
        <v>20</v>
      </c>
      <c r="I68" s="1">
        <v>2008</v>
      </c>
      <c r="L68">
        <f t="shared" si="9"/>
        <v>195</v>
      </c>
      <c r="M68">
        <f t="shared" si="10"/>
        <v>3350</v>
      </c>
      <c r="N68">
        <f t="shared" si="11"/>
        <v>35.5</v>
      </c>
      <c r="O68" t="e">
        <f t="shared" si="12"/>
        <v>#N/A</v>
      </c>
      <c r="P68" t="e">
        <f t="shared" si="13"/>
        <v>#N/A</v>
      </c>
      <c r="Q68" t="e">
        <f t="shared" si="14"/>
        <v>#N/A</v>
      </c>
      <c r="R68" t="e">
        <f t="shared" si="15"/>
        <v>#N/A</v>
      </c>
      <c r="S68" t="e">
        <f t="shared" si="16"/>
        <v>#N/A</v>
      </c>
      <c r="T68" t="e">
        <f t="shared" si="17"/>
        <v>#N/A</v>
      </c>
    </row>
    <row r="69" spans="1:20" ht="16" x14ac:dyDescent="0.2">
      <c r="A69" s="1">
        <v>68</v>
      </c>
      <c r="B69" s="1" t="s">
        <v>17</v>
      </c>
      <c r="C69" s="1" t="s">
        <v>22</v>
      </c>
      <c r="D69" s="1">
        <v>41.1</v>
      </c>
      <c r="E69" s="1">
        <v>19.100000000000001</v>
      </c>
      <c r="F69" s="1">
        <v>188</v>
      </c>
      <c r="G69" s="1">
        <v>4100</v>
      </c>
      <c r="H69" s="1" t="s">
        <v>19</v>
      </c>
      <c r="I69" s="1">
        <v>2008</v>
      </c>
      <c r="L69">
        <f t="shared" si="9"/>
        <v>188</v>
      </c>
      <c r="M69">
        <f t="shared" si="10"/>
        <v>4100</v>
      </c>
      <c r="N69">
        <f t="shared" si="11"/>
        <v>41.1</v>
      </c>
      <c r="O69" t="e">
        <f t="shared" si="12"/>
        <v>#N/A</v>
      </c>
      <c r="P69" t="e">
        <f t="shared" si="13"/>
        <v>#N/A</v>
      </c>
      <c r="Q69" t="e">
        <f t="shared" si="14"/>
        <v>#N/A</v>
      </c>
      <c r="R69" t="e">
        <f t="shared" si="15"/>
        <v>#N/A</v>
      </c>
      <c r="S69" t="e">
        <f t="shared" si="16"/>
        <v>#N/A</v>
      </c>
      <c r="T69" t="e">
        <f t="shared" si="17"/>
        <v>#N/A</v>
      </c>
    </row>
    <row r="70" spans="1:20" ht="16" x14ac:dyDescent="0.2">
      <c r="A70" s="1">
        <v>69</v>
      </c>
      <c r="B70" s="1" t="s">
        <v>17</v>
      </c>
      <c r="C70" s="1" t="s">
        <v>18</v>
      </c>
      <c r="D70" s="1">
        <v>35.9</v>
      </c>
      <c r="E70" s="1">
        <v>16.600000000000001</v>
      </c>
      <c r="F70" s="1">
        <v>190</v>
      </c>
      <c r="G70" s="1">
        <v>3050</v>
      </c>
      <c r="H70" s="1" t="s">
        <v>20</v>
      </c>
      <c r="I70" s="1">
        <v>2008</v>
      </c>
      <c r="L70">
        <f t="shared" si="9"/>
        <v>190</v>
      </c>
      <c r="M70">
        <f t="shared" si="10"/>
        <v>3050</v>
      </c>
      <c r="N70">
        <f t="shared" si="11"/>
        <v>35.9</v>
      </c>
      <c r="O70" t="e">
        <f t="shared" si="12"/>
        <v>#N/A</v>
      </c>
      <c r="P70" t="e">
        <f t="shared" si="13"/>
        <v>#N/A</v>
      </c>
      <c r="Q70" t="e">
        <f t="shared" si="14"/>
        <v>#N/A</v>
      </c>
      <c r="R70" t="e">
        <f t="shared" si="15"/>
        <v>#N/A</v>
      </c>
      <c r="S70" t="e">
        <f t="shared" si="16"/>
        <v>#N/A</v>
      </c>
      <c r="T70" t="e">
        <f t="shared" si="17"/>
        <v>#N/A</v>
      </c>
    </row>
    <row r="71" spans="1:20" ht="16" x14ac:dyDescent="0.2">
      <c r="A71" s="1">
        <v>70</v>
      </c>
      <c r="B71" s="1" t="s">
        <v>17</v>
      </c>
      <c r="C71" s="1" t="s">
        <v>18</v>
      </c>
      <c r="D71" s="1">
        <v>41.8</v>
      </c>
      <c r="E71" s="1">
        <v>19.399999999999999</v>
      </c>
      <c r="F71" s="1">
        <v>198</v>
      </c>
      <c r="G71" s="1">
        <v>4450</v>
      </c>
      <c r="H71" s="1" t="s">
        <v>19</v>
      </c>
      <c r="I71" s="1">
        <v>2008</v>
      </c>
      <c r="L71">
        <f t="shared" si="9"/>
        <v>198</v>
      </c>
      <c r="M71">
        <f t="shared" si="10"/>
        <v>4450</v>
      </c>
      <c r="N71">
        <f t="shared" si="11"/>
        <v>41.8</v>
      </c>
      <c r="O71" t="e">
        <f t="shared" si="12"/>
        <v>#N/A</v>
      </c>
      <c r="P71" t="e">
        <f t="shared" si="13"/>
        <v>#N/A</v>
      </c>
      <c r="Q71" t="e">
        <f t="shared" si="14"/>
        <v>#N/A</v>
      </c>
      <c r="R71" t="e">
        <f t="shared" si="15"/>
        <v>#N/A</v>
      </c>
      <c r="S71" t="e">
        <f t="shared" si="16"/>
        <v>#N/A</v>
      </c>
      <c r="T71" t="e">
        <f t="shared" si="17"/>
        <v>#N/A</v>
      </c>
    </row>
    <row r="72" spans="1:20" ht="16" x14ac:dyDescent="0.2">
      <c r="A72" s="1">
        <v>71</v>
      </c>
      <c r="B72" s="1" t="s">
        <v>17</v>
      </c>
      <c r="C72" s="1" t="s">
        <v>18</v>
      </c>
      <c r="D72" s="1">
        <v>33.5</v>
      </c>
      <c r="E72" s="1">
        <v>19</v>
      </c>
      <c r="F72" s="1">
        <v>190</v>
      </c>
      <c r="G72" s="1">
        <v>3600</v>
      </c>
      <c r="H72" s="1" t="s">
        <v>20</v>
      </c>
      <c r="I72" s="1">
        <v>2008</v>
      </c>
      <c r="L72">
        <f t="shared" si="9"/>
        <v>190</v>
      </c>
      <c r="M72">
        <f t="shared" si="10"/>
        <v>3600</v>
      </c>
      <c r="N72">
        <f t="shared" si="11"/>
        <v>33.5</v>
      </c>
      <c r="O72" t="e">
        <f t="shared" si="12"/>
        <v>#N/A</v>
      </c>
      <c r="P72" t="e">
        <f t="shared" si="13"/>
        <v>#N/A</v>
      </c>
      <c r="Q72" t="e">
        <f t="shared" si="14"/>
        <v>#N/A</v>
      </c>
      <c r="R72" t="e">
        <f t="shared" si="15"/>
        <v>#N/A</v>
      </c>
      <c r="S72" t="e">
        <f t="shared" si="16"/>
        <v>#N/A</v>
      </c>
      <c r="T72" t="e">
        <f t="shared" si="17"/>
        <v>#N/A</v>
      </c>
    </row>
    <row r="73" spans="1:20" ht="16" x14ac:dyDescent="0.2">
      <c r="A73" s="1">
        <v>72</v>
      </c>
      <c r="B73" s="1" t="s">
        <v>17</v>
      </c>
      <c r="C73" s="1" t="s">
        <v>18</v>
      </c>
      <c r="D73" s="1">
        <v>39.700000000000003</v>
      </c>
      <c r="E73" s="1">
        <v>18.399999999999999</v>
      </c>
      <c r="F73" s="1">
        <v>190</v>
      </c>
      <c r="G73" s="1">
        <v>3900</v>
      </c>
      <c r="H73" s="1" t="s">
        <v>19</v>
      </c>
      <c r="I73" s="1">
        <v>2008</v>
      </c>
      <c r="L73">
        <f t="shared" si="9"/>
        <v>190</v>
      </c>
      <c r="M73">
        <f t="shared" si="10"/>
        <v>3900</v>
      </c>
      <c r="N73">
        <f t="shared" si="11"/>
        <v>39.700000000000003</v>
      </c>
      <c r="O73" t="e">
        <f t="shared" si="12"/>
        <v>#N/A</v>
      </c>
      <c r="P73" t="e">
        <f t="shared" si="13"/>
        <v>#N/A</v>
      </c>
      <c r="Q73" t="e">
        <f t="shared" si="14"/>
        <v>#N/A</v>
      </c>
      <c r="R73" t="e">
        <f t="shared" si="15"/>
        <v>#N/A</v>
      </c>
      <c r="S73" t="e">
        <f t="shared" si="16"/>
        <v>#N/A</v>
      </c>
      <c r="T73" t="e">
        <f t="shared" si="17"/>
        <v>#N/A</v>
      </c>
    </row>
    <row r="74" spans="1:20" ht="16" x14ac:dyDescent="0.2">
      <c r="A74" s="1">
        <v>73</v>
      </c>
      <c r="B74" s="1" t="s">
        <v>17</v>
      </c>
      <c r="C74" s="1" t="s">
        <v>18</v>
      </c>
      <c r="D74" s="1">
        <v>39.6</v>
      </c>
      <c r="E74" s="1">
        <v>17.2</v>
      </c>
      <c r="F74" s="1">
        <v>196</v>
      </c>
      <c r="G74" s="1">
        <v>3550</v>
      </c>
      <c r="H74" s="1" t="s">
        <v>20</v>
      </c>
      <c r="I74" s="1">
        <v>2008</v>
      </c>
      <c r="L74">
        <f t="shared" si="9"/>
        <v>196</v>
      </c>
      <c r="M74">
        <f t="shared" si="10"/>
        <v>3550</v>
      </c>
      <c r="N74">
        <f t="shared" si="11"/>
        <v>39.6</v>
      </c>
      <c r="O74" t="e">
        <f t="shared" si="12"/>
        <v>#N/A</v>
      </c>
      <c r="P74" t="e">
        <f t="shared" si="13"/>
        <v>#N/A</v>
      </c>
      <c r="Q74" t="e">
        <f t="shared" si="14"/>
        <v>#N/A</v>
      </c>
      <c r="R74" t="e">
        <f t="shared" si="15"/>
        <v>#N/A</v>
      </c>
      <c r="S74" t="e">
        <f t="shared" si="16"/>
        <v>#N/A</v>
      </c>
      <c r="T74" t="e">
        <f t="shared" si="17"/>
        <v>#N/A</v>
      </c>
    </row>
    <row r="75" spans="1:20" ht="16" x14ac:dyDescent="0.2">
      <c r="A75" s="1">
        <v>74</v>
      </c>
      <c r="B75" s="1" t="s">
        <v>17</v>
      </c>
      <c r="C75" s="1" t="s">
        <v>18</v>
      </c>
      <c r="D75" s="1">
        <v>45.8</v>
      </c>
      <c r="E75" s="1">
        <v>18.899999999999999</v>
      </c>
      <c r="F75" s="1">
        <v>197</v>
      </c>
      <c r="G75" s="1">
        <v>4150</v>
      </c>
      <c r="H75" s="1" t="s">
        <v>19</v>
      </c>
      <c r="I75" s="1">
        <v>2008</v>
      </c>
      <c r="L75">
        <f t="shared" si="9"/>
        <v>197</v>
      </c>
      <c r="M75">
        <f t="shared" si="10"/>
        <v>4150</v>
      </c>
      <c r="N75">
        <f t="shared" si="11"/>
        <v>45.8</v>
      </c>
      <c r="O75" t="e">
        <f t="shared" si="12"/>
        <v>#N/A</v>
      </c>
      <c r="P75" t="e">
        <f t="shared" si="13"/>
        <v>#N/A</v>
      </c>
      <c r="Q75" t="e">
        <f t="shared" si="14"/>
        <v>#N/A</v>
      </c>
      <c r="R75" t="e">
        <f t="shared" si="15"/>
        <v>#N/A</v>
      </c>
      <c r="S75" t="e">
        <f t="shared" si="16"/>
        <v>#N/A</v>
      </c>
      <c r="T75" t="e">
        <f t="shared" si="17"/>
        <v>#N/A</v>
      </c>
    </row>
    <row r="76" spans="1:20" ht="16" x14ac:dyDescent="0.2">
      <c r="A76" s="1">
        <v>75</v>
      </c>
      <c r="B76" s="1" t="s">
        <v>17</v>
      </c>
      <c r="C76" s="1" t="s">
        <v>18</v>
      </c>
      <c r="D76" s="1">
        <v>35.5</v>
      </c>
      <c r="E76" s="1">
        <v>17.5</v>
      </c>
      <c r="F76" s="1">
        <v>190</v>
      </c>
      <c r="G76" s="1">
        <v>3700</v>
      </c>
      <c r="H76" s="1" t="s">
        <v>20</v>
      </c>
      <c r="I76" s="1">
        <v>2008</v>
      </c>
      <c r="L76">
        <f t="shared" si="9"/>
        <v>190</v>
      </c>
      <c r="M76">
        <f t="shared" si="10"/>
        <v>3700</v>
      </c>
      <c r="N76">
        <f t="shared" si="11"/>
        <v>35.5</v>
      </c>
      <c r="O76" t="e">
        <f t="shared" si="12"/>
        <v>#N/A</v>
      </c>
      <c r="P76" t="e">
        <f t="shared" si="13"/>
        <v>#N/A</v>
      </c>
      <c r="Q76" t="e">
        <f t="shared" si="14"/>
        <v>#N/A</v>
      </c>
      <c r="R76" t="e">
        <f t="shared" si="15"/>
        <v>#N/A</v>
      </c>
      <c r="S76" t="e">
        <f t="shared" si="16"/>
        <v>#N/A</v>
      </c>
      <c r="T76" t="e">
        <f t="shared" si="17"/>
        <v>#N/A</v>
      </c>
    </row>
    <row r="77" spans="1:20" ht="16" x14ac:dyDescent="0.2">
      <c r="A77" s="1">
        <v>76</v>
      </c>
      <c r="B77" s="1" t="s">
        <v>17</v>
      </c>
      <c r="C77" s="1" t="s">
        <v>18</v>
      </c>
      <c r="D77" s="1">
        <v>42.8</v>
      </c>
      <c r="E77" s="1">
        <v>18.5</v>
      </c>
      <c r="F77" s="1">
        <v>195</v>
      </c>
      <c r="G77" s="1">
        <v>4250</v>
      </c>
      <c r="H77" s="1" t="s">
        <v>19</v>
      </c>
      <c r="I77" s="1">
        <v>2008</v>
      </c>
      <c r="L77">
        <f t="shared" si="9"/>
        <v>195</v>
      </c>
      <c r="M77">
        <f t="shared" si="10"/>
        <v>4250</v>
      </c>
      <c r="N77">
        <f t="shared" si="11"/>
        <v>42.8</v>
      </c>
      <c r="O77" t="e">
        <f t="shared" si="12"/>
        <v>#N/A</v>
      </c>
      <c r="P77" t="e">
        <f t="shared" si="13"/>
        <v>#N/A</v>
      </c>
      <c r="Q77" t="e">
        <f t="shared" si="14"/>
        <v>#N/A</v>
      </c>
      <c r="R77" t="e">
        <f t="shared" si="15"/>
        <v>#N/A</v>
      </c>
      <c r="S77" t="e">
        <f t="shared" si="16"/>
        <v>#N/A</v>
      </c>
      <c r="T77" t="e">
        <f t="shared" si="17"/>
        <v>#N/A</v>
      </c>
    </row>
    <row r="78" spans="1:20" ht="16" x14ac:dyDescent="0.2">
      <c r="A78" s="1">
        <v>77</v>
      </c>
      <c r="B78" s="1" t="s">
        <v>17</v>
      </c>
      <c r="C78" s="1" t="s">
        <v>18</v>
      </c>
      <c r="D78" s="1">
        <v>40.9</v>
      </c>
      <c r="E78" s="1">
        <v>16.8</v>
      </c>
      <c r="F78" s="1">
        <v>191</v>
      </c>
      <c r="G78" s="1">
        <v>3700</v>
      </c>
      <c r="H78" s="1" t="s">
        <v>20</v>
      </c>
      <c r="I78" s="1">
        <v>2008</v>
      </c>
      <c r="L78">
        <f t="shared" si="9"/>
        <v>191</v>
      </c>
      <c r="M78">
        <f t="shared" si="10"/>
        <v>3700</v>
      </c>
      <c r="N78">
        <f t="shared" si="11"/>
        <v>40.9</v>
      </c>
      <c r="O78" t="e">
        <f t="shared" si="12"/>
        <v>#N/A</v>
      </c>
      <c r="P78" t="e">
        <f t="shared" si="13"/>
        <v>#N/A</v>
      </c>
      <c r="Q78" t="e">
        <f t="shared" si="14"/>
        <v>#N/A</v>
      </c>
      <c r="R78" t="e">
        <f t="shared" si="15"/>
        <v>#N/A</v>
      </c>
      <c r="S78" t="e">
        <f t="shared" si="16"/>
        <v>#N/A</v>
      </c>
      <c r="T78" t="e">
        <f t="shared" si="17"/>
        <v>#N/A</v>
      </c>
    </row>
    <row r="79" spans="1:20" ht="16" x14ac:dyDescent="0.2">
      <c r="A79" s="1">
        <v>78</v>
      </c>
      <c r="B79" s="1" t="s">
        <v>17</v>
      </c>
      <c r="C79" s="1" t="s">
        <v>18</v>
      </c>
      <c r="D79" s="1">
        <v>37.200000000000003</v>
      </c>
      <c r="E79" s="1">
        <v>19.399999999999999</v>
      </c>
      <c r="F79" s="1">
        <v>184</v>
      </c>
      <c r="G79" s="1">
        <v>3900</v>
      </c>
      <c r="H79" s="1" t="s">
        <v>19</v>
      </c>
      <c r="I79" s="1">
        <v>2008</v>
      </c>
      <c r="L79">
        <f t="shared" si="9"/>
        <v>184</v>
      </c>
      <c r="M79">
        <f t="shared" si="10"/>
        <v>3900</v>
      </c>
      <c r="N79">
        <f t="shared" si="11"/>
        <v>37.200000000000003</v>
      </c>
      <c r="O79" t="e">
        <f t="shared" si="12"/>
        <v>#N/A</v>
      </c>
      <c r="P79" t="e">
        <f t="shared" si="13"/>
        <v>#N/A</v>
      </c>
      <c r="Q79" t="e">
        <f t="shared" si="14"/>
        <v>#N/A</v>
      </c>
      <c r="R79" t="e">
        <f t="shared" si="15"/>
        <v>#N/A</v>
      </c>
      <c r="S79" t="e">
        <f t="shared" si="16"/>
        <v>#N/A</v>
      </c>
      <c r="T79" t="e">
        <f t="shared" si="17"/>
        <v>#N/A</v>
      </c>
    </row>
    <row r="80" spans="1:20" ht="16" x14ac:dyDescent="0.2">
      <c r="A80" s="1">
        <v>79</v>
      </c>
      <c r="B80" s="1" t="s">
        <v>17</v>
      </c>
      <c r="C80" s="1" t="s">
        <v>18</v>
      </c>
      <c r="D80" s="1">
        <v>36.200000000000003</v>
      </c>
      <c r="E80" s="1">
        <v>16.100000000000001</v>
      </c>
      <c r="F80" s="1">
        <v>187</v>
      </c>
      <c r="G80" s="1">
        <v>3550</v>
      </c>
      <c r="H80" s="1" t="s">
        <v>20</v>
      </c>
      <c r="I80" s="1">
        <v>2008</v>
      </c>
      <c r="L80">
        <f t="shared" si="9"/>
        <v>187</v>
      </c>
      <c r="M80">
        <f t="shared" si="10"/>
        <v>3550</v>
      </c>
      <c r="N80">
        <f t="shared" si="11"/>
        <v>36.200000000000003</v>
      </c>
      <c r="O80" t="e">
        <f t="shared" si="12"/>
        <v>#N/A</v>
      </c>
      <c r="P80" t="e">
        <f t="shared" si="13"/>
        <v>#N/A</v>
      </c>
      <c r="Q80" t="e">
        <f t="shared" si="14"/>
        <v>#N/A</v>
      </c>
      <c r="R80" t="e">
        <f t="shared" si="15"/>
        <v>#N/A</v>
      </c>
      <c r="S80" t="e">
        <f t="shared" si="16"/>
        <v>#N/A</v>
      </c>
      <c r="T80" t="e">
        <f t="shared" si="17"/>
        <v>#N/A</v>
      </c>
    </row>
    <row r="81" spans="1:20" ht="16" x14ac:dyDescent="0.2">
      <c r="A81" s="1">
        <v>80</v>
      </c>
      <c r="B81" s="1" t="s">
        <v>17</v>
      </c>
      <c r="C81" s="1" t="s">
        <v>18</v>
      </c>
      <c r="D81" s="1">
        <v>42.1</v>
      </c>
      <c r="E81" s="1">
        <v>19.100000000000001</v>
      </c>
      <c r="F81" s="1">
        <v>195</v>
      </c>
      <c r="G81" s="1">
        <v>4000</v>
      </c>
      <c r="H81" s="1" t="s">
        <v>19</v>
      </c>
      <c r="I81" s="1">
        <v>2008</v>
      </c>
      <c r="L81">
        <f t="shared" si="9"/>
        <v>195</v>
      </c>
      <c r="M81">
        <f t="shared" si="10"/>
        <v>4000</v>
      </c>
      <c r="N81">
        <f t="shared" si="11"/>
        <v>42.1</v>
      </c>
      <c r="O81" t="e">
        <f t="shared" si="12"/>
        <v>#N/A</v>
      </c>
      <c r="P81" t="e">
        <f t="shared" si="13"/>
        <v>#N/A</v>
      </c>
      <c r="Q81" t="e">
        <f t="shared" si="14"/>
        <v>#N/A</v>
      </c>
      <c r="R81" t="e">
        <f t="shared" si="15"/>
        <v>#N/A</v>
      </c>
      <c r="S81" t="e">
        <f t="shared" si="16"/>
        <v>#N/A</v>
      </c>
      <c r="T81" t="e">
        <f t="shared" si="17"/>
        <v>#N/A</v>
      </c>
    </row>
    <row r="82" spans="1:20" ht="16" x14ac:dyDescent="0.2">
      <c r="A82" s="1">
        <v>81</v>
      </c>
      <c r="B82" s="1" t="s">
        <v>17</v>
      </c>
      <c r="C82" s="1" t="s">
        <v>18</v>
      </c>
      <c r="D82" s="1">
        <v>34.6</v>
      </c>
      <c r="E82" s="1">
        <v>17.2</v>
      </c>
      <c r="F82" s="1">
        <v>189</v>
      </c>
      <c r="G82" s="1">
        <v>3200</v>
      </c>
      <c r="H82" s="1" t="s">
        <v>20</v>
      </c>
      <c r="I82" s="1">
        <v>2008</v>
      </c>
      <c r="L82">
        <f t="shared" si="9"/>
        <v>189</v>
      </c>
      <c r="M82">
        <f t="shared" si="10"/>
        <v>3200</v>
      </c>
      <c r="N82">
        <f t="shared" si="11"/>
        <v>34.6</v>
      </c>
      <c r="O82" t="e">
        <f t="shared" si="12"/>
        <v>#N/A</v>
      </c>
      <c r="P82" t="e">
        <f t="shared" si="13"/>
        <v>#N/A</v>
      </c>
      <c r="Q82" t="e">
        <f t="shared" si="14"/>
        <v>#N/A</v>
      </c>
      <c r="R82" t="e">
        <f t="shared" si="15"/>
        <v>#N/A</v>
      </c>
      <c r="S82" t="e">
        <f t="shared" si="16"/>
        <v>#N/A</v>
      </c>
      <c r="T82" t="e">
        <f t="shared" si="17"/>
        <v>#N/A</v>
      </c>
    </row>
    <row r="83" spans="1:20" ht="16" x14ac:dyDescent="0.2">
      <c r="A83" s="1">
        <v>82</v>
      </c>
      <c r="B83" s="1" t="s">
        <v>17</v>
      </c>
      <c r="C83" s="1" t="s">
        <v>18</v>
      </c>
      <c r="D83" s="1">
        <v>42.9</v>
      </c>
      <c r="E83" s="1">
        <v>17.600000000000001</v>
      </c>
      <c r="F83" s="1">
        <v>196</v>
      </c>
      <c r="G83" s="1">
        <v>4700</v>
      </c>
      <c r="H83" s="1" t="s">
        <v>19</v>
      </c>
      <c r="I83" s="1">
        <v>2008</v>
      </c>
      <c r="L83">
        <f t="shared" si="9"/>
        <v>196</v>
      </c>
      <c r="M83">
        <f t="shared" si="10"/>
        <v>4700</v>
      </c>
      <c r="N83">
        <f t="shared" si="11"/>
        <v>42.9</v>
      </c>
      <c r="O83" t="e">
        <f t="shared" si="12"/>
        <v>#N/A</v>
      </c>
      <c r="P83" t="e">
        <f t="shared" si="13"/>
        <v>#N/A</v>
      </c>
      <c r="Q83" t="e">
        <f t="shared" si="14"/>
        <v>#N/A</v>
      </c>
      <c r="R83" t="e">
        <f t="shared" si="15"/>
        <v>#N/A</v>
      </c>
      <c r="S83" t="e">
        <f t="shared" si="16"/>
        <v>#N/A</v>
      </c>
      <c r="T83" t="e">
        <f t="shared" si="17"/>
        <v>#N/A</v>
      </c>
    </row>
    <row r="84" spans="1:20" ht="16" x14ac:dyDescent="0.2">
      <c r="A84" s="1">
        <v>83</v>
      </c>
      <c r="B84" s="1" t="s">
        <v>17</v>
      </c>
      <c r="C84" s="1" t="s">
        <v>18</v>
      </c>
      <c r="D84" s="1">
        <v>36.700000000000003</v>
      </c>
      <c r="E84" s="1">
        <v>18.8</v>
      </c>
      <c r="F84" s="1">
        <v>187</v>
      </c>
      <c r="G84" s="1">
        <v>3800</v>
      </c>
      <c r="H84" s="1" t="s">
        <v>20</v>
      </c>
      <c r="I84" s="1">
        <v>2008</v>
      </c>
      <c r="L84">
        <f t="shared" si="9"/>
        <v>187</v>
      </c>
      <c r="M84">
        <f t="shared" si="10"/>
        <v>3800</v>
      </c>
      <c r="N84">
        <f t="shared" si="11"/>
        <v>36.700000000000003</v>
      </c>
      <c r="O84" t="e">
        <f t="shared" si="12"/>
        <v>#N/A</v>
      </c>
      <c r="P84" t="e">
        <f t="shared" si="13"/>
        <v>#N/A</v>
      </c>
      <c r="Q84" t="e">
        <f t="shared" si="14"/>
        <v>#N/A</v>
      </c>
      <c r="R84" t="e">
        <f t="shared" si="15"/>
        <v>#N/A</v>
      </c>
      <c r="S84" t="e">
        <f t="shared" si="16"/>
        <v>#N/A</v>
      </c>
      <c r="T84" t="e">
        <f t="shared" si="17"/>
        <v>#N/A</v>
      </c>
    </row>
    <row r="85" spans="1:20" ht="16" x14ac:dyDescent="0.2">
      <c r="A85" s="1">
        <v>84</v>
      </c>
      <c r="B85" s="1" t="s">
        <v>17</v>
      </c>
      <c r="C85" s="1" t="s">
        <v>18</v>
      </c>
      <c r="D85" s="1">
        <v>35.1</v>
      </c>
      <c r="E85" s="1">
        <v>19.399999999999999</v>
      </c>
      <c r="F85" s="1">
        <v>193</v>
      </c>
      <c r="G85" s="1">
        <v>4200</v>
      </c>
      <c r="H85" s="1" t="s">
        <v>19</v>
      </c>
      <c r="I85" s="1">
        <v>2008</v>
      </c>
      <c r="L85">
        <f t="shared" si="9"/>
        <v>193</v>
      </c>
      <c r="M85">
        <f t="shared" si="10"/>
        <v>4200</v>
      </c>
      <c r="N85">
        <f t="shared" si="11"/>
        <v>35.1</v>
      </c>
      <c r="O85" t="e">
        <f t="shared" si="12"/>
        <v>#N/A</v>
      </c>
      <c r="P85" t="e">
        <f t="shared" si="13"/>
        <v>#N/A</v>
      </c>
      <c r="Q85" t="e">
        <f t="shared" si="14"/>
        <v>#N/A</v>
      </c>
      <c r="R85" t="e">
        <f t="shared" si="15"/>
        <v>#N/A</v>
      </c>
      <c r="S85" t="e">
        <f t="shared" si="16"/>
        <v>#N/A</v>
      </c>
      <c r="T85" t="e">
        <f t="shared" si="17"/>
        <v>#N/A</v>
      </c>
    </row>
    <row r="86" spans="1:20" ht="16" x14ac:dyDescent="0.2">
      <c r="A86" s="1">
        <v>85</v>
      </c>
      <c r="B86" s="1" t="s">
        <v>17</v>
      </c>
      <c r="C86" s="1" t="s">
        <v>23</v>
      </c>
      <c r="D86" s="1">
        <v>37.299999999999997</v>
      </c>
      <c r="E86" s="1">
        <v>17.8</v>
      </c>
      <c r="F86" s="1">
        <v>191</v>
      </c>
      <c r="G86" s="1">
        <v>3350</v>
      </c>
      <c r="H86" s="1" t="s">
        <v>20</v>
      </c>
      <c r="I86" s="1">
        <v>2008</v>
      </c>
      <c r="L86">
        <f t="shared" si="9"/>
        <v>191</v>
      </c>
      <c r="M86">
        <f t="shared" si="10"/>
        <v>3350</v>
      </c>
      <c r="N86">
        <f t="shared" si="11"/>
        <v>37.299999999999997</v>
      </c>
      <c r="O86" t="e">
        <f t="shared" si="12"/>
        <v>#N/A</v>
      </c>
      <c r="P86" t="e">
        <f t="shared" si="13"/>
        <v>#N/A</v>
      </c>
      <c r="Q86" t="e">
        <f t="shared" si="14"/>
        <v>#N/A</v>
      </c>
      <c r="R86" t="e">
        <f t="shared" si="15"/>
        <v>#N/A</v>
      </c>
      <c r="S86" t="e">
        <f t="shared" si="16"/>
        <v>#N/A</v>
      </c>
      <c r="T86" t="e">
        <f t="shared" si="17"/>
        <v>#N/A</v>
      </c>
    </row>
    <row r="87" spans="1:20" ht="16" x14ac:dyDescent="0.2">
      <c r="A87" s="1">
        <v>86</v>
      </c>
      <c r="B87" s="1" t="s">
        <v>17</v>
      </c>
      <c r="C87" s="1" t="s">
        <v>23</v>
      </c>
      <c r="D87" s="1">
        <v>41.3</v>
      </c>
      <c r="E87" s="1">
        <v>20.3</v>
      </c>
      <c r="F87" s="1">
        <v>194</v>
      </c>
      <c r="G87" s="1">
        <v>3550</v>
      </c>
      <c r="H87" s="1" t="s">
        <v>19</v>
      </c>
      <c r="I87" s="1">
        <v>2008</v>
      </c>
      <c r="L87">
        <f t="shared" si="9"/>
        <v>194</v>
      </c>
      <c r="M87">
        <f t="shared" si="10"/>
        <v>3550</v>
      </c>
      <c r="N87">
        <f t="shared" si="11"/>
        <v>41.3</v>
      </c>
      <c r="O87" t="e">
        <f t="shared" si="12"/>
        <v>#N/A</v>
      </c>
      <c r="P87" t="e">
        <f t="shared" si="13"/>
        <v>#N/A</v>
      </c>
      <c r="Q87" t="e">
        <f t="shared" si="14"/>
        <v>#N/A</v>
      </c>
      <c r="R87" t="e">
        <f t="shared" si="15"/>
        <v>#N/A</v>
      </c>
      <c r="S87" t="e">
        <f t="shared" si="16"/>
        <v>#N/A</v>
      </c>
      <c r="T87" t="e">
        <f t="shared" si="17"/>
        <v>#N/A</v>
      </c>
    </row>
    <row r="88" spans="1:20" ht="16" x14ac:dyDescent="0.2">
      <c r="A88" s="1">
        <v>87</v>
      </c>
      <c r="B88" s="1" t="s">
        <v>17</v>
      </c>
      <c r="C88" s="1" t="s">
        <v>23</v>
      </c>
      <c r="D88" s="1">
        <v>36.299999999999997</v>
      </c>
      <c r="E88" s="1">
        <v>19.5</v>
      </c>
      <c r="F88" s="1">
        <v>190</v>
      </c>
      <c r="G88" s="1">
        <v>3800</v>
      </c>
      <c r="H88" s="1" t="s">
        <v>19</v>
      </c>
      <c r="I88" s="1">
        <v>2008</v>
      </c>
      <c r="L88">
        <f t="shared" si="9"/>
        <v>190</v>
      </c>
      <c r="M88">
        <f t="shared" si="10"/>
        <v>3800</v>
      </c>
      <c r="N88">
        <f t="shared" si="11"/>
        <v>36.299999999999997</v>
      </c>
      <c r="O88" t="e">
        <f t="shared" si="12"/>
        <v>#N/A</v>
      </c>
      <c r="P88" t="e">
        <f t="shared" si="13"/>
        <v>#N/A</v>
      </c>
      <c r="Q88" t="e">
        <f t="shared" si="14"/>
        <v>#N/A</v>
      </c>
      <c r="R88" t="e">
        <f t="shared" si="15"/>
        <v>#N/A</v>
      </c>
      <c r="S88" t="e">
        <f t="shared" si="16"/>
        <v>#N/A</v>
      </c>
      <c r="T88" t="e">
        <f t="shared" si="17"/>
        <v>#N/A</v>
      </c>
    </row>
    <row r="89" spans="1:20" ht="16" x14ac:dyDescent="0.2">
      <c r="A89" s="1">
        <v>88</v>
      </c>
      <c r="B89" s="1" t="s">
        <v>17</v>
      </c>
      <c r="C89" s="1" t="s">
        <v>23</v>
      </c>
      <c r="D89" s="1">
        <v>36.9</v>
      </c>
      <c r="E89" s="1">
        <v>18.600000000000001</v>
      </c>
      <c r="F89" s="1">
        <v>189</v>
      </c>
      <c r="G89" s="1">
        <v>3500</v>
      </c>
      <c r="H89" s="1" t="s">
        <v>20</v>
      </c>
      <c r="I89" s="1">
        <v>2008</v>
      </c>
      <c r="L89">
        <f t="shared" si="9"/>
        <v>189</v>
      </c>
      <c r="M89">
        <f t="shared" si="10"/>
        <v>3500</v>
      </c>
      <c r="N89">
        <f t="shared" si="11"/>
        <v>36.9</v>
      </c>
      <c r="O89" t="e">
        <f t="shared" si="12"/>
        <v>#N/A</v>
      </c>
      <c r="P89" t="e">
        <f t="shared" si="13"/>
        <v>#N/A</v>
      </c>
      <c r="Q89" t="e">
        <f t="shared" si="14"/>
        <v>#N/A</v>
      </c>
      <c r="R89" t="e">
        <f t="shared" si="15"/>
        <v>#N/A</v>
      </c>
      <c r="S89" t="e">
        <f t="shared" si="16"/>
        <v>#N/A</v>
      </c>
      <c r="T89" t="e">
        <f t="shared" si="17"/>
        <v>#N/A</v>
      </c>
    </row>
    <row r="90" spans="1:20" ht="16" x14ac:dyDescent="0.2">
      <c r="A90" s="1">
        <v>89</v>
      </c>
      <c r="B90" s="1" t="s">
        <v>17</v>
      </c>
      <c r="C90" s="1" t="s">
        <v>23</v>
      </c>
      <c r="D90" s="1">
        <v>38.299999999999997</v>
      </c>
      <c r="E90" s="1">
        <v>19.2</v>
      </c>
      <c r="F90" s="1">
        <v>189</v>
      </c>
      <c r="G90" s="1">
        <v>3950</v>
      </c>
      <c r="H90" s="1" t="s">
        <v>19</v>
      </c>
      <c r="I90" s="1">
        <v>2008</v>
      </c>
      <c r="L90">
        <f t="shared" si="9"/>
        <v>189</v>
      </c>
      <c r="M90">
        <f t="shared" si="10"/>
        <v>3950</v>
      </c>
      <c r="N90">
        <f t="shared" si="11"/>
        <v>38.299999999999997</v>
      </c>
      <c r="O90" t="e">
        <f t="shared" si="12"/>
        <v>#N/A</v>
      </c>
      <c r="P90" t="e">
        <f t="shared" si="13"/>
        <v>#N/A</v>
      </c>
      <c r="Q90" t="e">
        <f t="shared" si="14"/>
        <v>#N/A</v>
      </c>
      <c r="R90" t="e">
        <f t="shared" si="15"/>
        <v>#N/A</v>
      </c>
      <c r="S90" t="e">
        <f t="shared" si="16"/>
        <v>#N/A</v>
      </c>
      <c r="T90" t="e">
        <f t="shared" si="17"/>
        <v>#N/A</v>
      </c>
    </row>
    <row r="91" spans="1:20" ht="16" x14ac:dyDescent="0.2">
      <c r="A91" s="1">
        <v>90</v>
      </c>
      <c r="B91" s="1" t="s">
        <v>17</v>
      </c>
      <c r="C91" s="1" t="s">
        <v>23</v>
      </c>
      <c r="D91" s="1">
        <v>38.9</v>
      </c>
      <c r="E91" s="1">
        <v>18.8</v>
      </c>
      <c r="F91" s="1">
        <v>190</v>
      </c>
      <c r="G91" s="1">
        <v>3600</v>
      </c>
      <c r="H91" s="1" t="s">
        <v>20</v>
      </c>
      <c r="I91" s="1">
        <v>2008</v>
      </c>
      <c r="L91">
        <f t="shared" si="9"/>
        <v>190</v>
      </c>
      <c r="M91">
        <f t="shared" si="10"/>
        <v>3600</v>
      </c>
      <c r="N91">
        <f t="shared" si="11"/>
        <v>38.9</v>
      </c>
      <c r="O91" t="e">
        <f t="shared" si="12"/>
        <v>#N/A</v>
      </c>
      <c r="P91" t="e">
        <f t="shared" si="13"/>
        <v>#N/A</v>
      </c>
      <c r="Q91" t="e">
        <f t="shared" si="14"/>
        <v>#N/A</v>
      </c>
      <c r="R91" t="e">
        <f t="shared" si="15"/>
        <v>#N/A</v>
      </c>
      <c r="S91" t="e">
        <f t="shared" si="16"/>
        <v>#N/A</v>
      </c>
      <c r="T91" t="e">
        <f t="shared" si="17"/>
        <v>#N/A</v>
      </c>
    </row>
    <row r="92" spans="1:20" ht="16" x14ac:dyDescent="0.2">
      <c r="A92" s="1">
        <v>91</v>
      </c>
      <c r="B92" s="1" t="s">
        <v>17</v>
      </c>
      <c r="C92" s="1" t="s">
        <v>23</v>
      </c>
      <c r="D92" s="1">
        <v>35.700000000000003</v>
      </c>
      <c r="E92" s="1">
        <v>18</v>
      </c>
      <c r="F92" s="1">
        <v>202</v>
      </c>
      <c r="G92" s="1">
        <v>3550</v>
      </c>
      <c r="H92" s="1" t="s">
        <v>20</v>
      </c>
      <c r="I92" s="1">
        <v>2008</v>
      </c>
      <c r="L92">
        <f t="shared" si="9"/>
        <v>202</v>
      </c>
      <c r="M92">
        <f t="shared" si="10"/>
        <v>3550</v>
      </c>
      <c r="N92">
        <f t="shared" si="11"/>
        <v>35.700000000000003</v>
      </c>
      <c r="O92" t="e">
        <f t="shared" si="12"/>
        <v>#N/A</v>
      </c>
      <c r="P92" t="e">
        <f t="shared" si="13"/>
        <v>#N/A</v>
      </c>
      <c r="Q92" t="e">
        <f t="shared" si="14"/>
        <v>#N/A</v>
      </c>
      <c r="R92" t="e">
        <f t="shared" si="15"/>
        <v>#N/A</v>
      </c>
      <c r="S92" t="e">
        <f t="shared" si="16"/>
        <v>#N/A</v>
      </c>
      <c r="T92" t="e">
        <f t="shared" si="17"/>
        <v>#N/A</v>
      </c>
    </row>
    <row r="93" spans="1:20" ht="16" x14ac:dyDescent="0.2">
      <c r="A93" s="1">
        <v>92</v>
      </c>
      <c r="B93" s="1" t="s">
        <v>17</v>
      </c>
      <c r="C93" s="1" t="s">
        <v>23</v>
      </c>
      <c r="D93" s="1">
        <v>41.1</v>
      </c>
      <c r="E93" s="1">
        <v>18.100000000000001</v>
      </c>
      <c r="F93" s="1">
        <v>205</v>
      </c>
      <c r="G93" s="1">
        <v>4300</v>
      </c>
      <c r="H93" s="1" t="s">
        <v>19</v>
      </c>
      <c r="I93" s="1">
        <v>2008</v>
      </c>
      <c r="L93">
        <f t="shared" si="9"/>
        <v>205</v>
      </c>
      <c r="M93">
        <f t="shared" si="10"/>
        <v>4300</v>
      </c>
      <c r="N93">
        <f t="shared" si="11"/>
        <v>41.1</v>
      </c>
      <c r="O93" t="e">
        <f t="shared" si="12"/>
        <v>#N/A</v>
      </c>
      <c r="P93" t="e">
        <f t="shared" si="13"/>
        <v>#N/A</v>
      </c>
      <c r="Q93" t="e">
        <f t="shared" si="14"/>
        <v>#N/A</v>
      </c>
      <c r="R93" t="e">
        <f t="shared" si="15"/>
        <v>#N/A</v>
      </c>
      <c r="S93" t="e">
        <f t="shared" si="16"/>
        <v>#N/A</v>
      </c>
      <c r="T93" t="e">
        <f t="shared" si="17"/>
        <v>#N/A</v>
      </c>
    </row>
    <row r="94" spans="1:20" ht="16" x14ac:dyDescent="0.2">
      <c r="A94" s="1">
        <v>93</v>
      </c>
      <c r="B94" s="1" t="s">
        <v>17</v>
      </c>
      <c r="C94" s="1" t="s">
        <v>23</v>
      </c>
      <c r="D94" s="1">
        <v>34</v>
      </c>
      <c r="E94" s="1">
        <v>17.100000000000001</v>
      </c>
      <c r="F94" s="1">
        <v>185</v>
      </c>
      <c r="G94" s="1">
        <v>3400</v>
      </c>
      <c r="H94" s="1" t="s">
        <v>20</v>
      </c>
      <c r="I94" s="1">
        <v>2008</v>
      </c>
      <c r="L94">
        <f t="shared" si="9"/>
        <v>185</v>
      </c>
      <c r="M94">
        <f t="shared" si="10"/>
        <v>3400</v>
      </c>
      <c r="N94">
        <f t="shared" si="11"/>
        <v>34</v>
      </c>
      <c r="O94" t="e">
        <f t="shared" si="12"/>
        <v>#N/A</v>
      </c>
      <c r="P94" t="e">
        <f t="shared" si="13"/>
        <v>#N/A</v>
      </c>
      <c r="Q94" t="e">
        <f t="shared" si="14"/>
        <v>#N/A</v>
      </c>
      <c r="R94" t="e">
        <f t="shared" si="15"/>
        <v>#N/A</v>
      </c>
      <c r="S94" t="e">
        <f t="shared" si="16"/>
        <v>#N/A</v>
      </c>
      <c r="T94" t="e">
        <f t="shared" si="17"/>
        <v>#N/A</v>
      </c>
    </row>
    <row r="95" spans="1:20" ht="16" x14ac:dyDescent="0.2">
      <c r="A95" s="1">
        <v>94</v>
      </c>
      <c r="B95" s="1" t="s">
        <v>17</v>
      </c>
      <c r="C95" s="1" t="s">
        <v>23</v>
      </c>
      <c r="D95" s="1">
        <v>39.6</v>
      </c>
      <c r="E95" s="1">
        <v>18.100000000000001</v>
      </c>
      <c r="F95" s="1">
        <v>186</v>
      </c>
      <c r="G95" s="1">
        <v>4450</v>
      </c>
      <c r="H95" s="1" t="s">
        <v>19</v>
      </c>
      <c r="I95" s="1">
        <v>2008</v>
      </c>
      <c r="L95">
        <f t="shared" si="9"/>
        <v>186</v>
      </c>
      <c r="M95">
        <f t="shared" si="10"/>
        <v>4450</v>
      </c>
      <c r="N95">
        <f t="shared" si="11"/>
        <v>39.6</v>
      </c>
      <c r="O95" t="e">
        <f t="shared" si="12"/>
        <v>#N/A</v>
      </c>
      <c r="P95" t="e">
        <f t="shared" si="13"/>
        <v>#N/A</v>
      </c>
      <c r="Q95" t="e">
        <f t="shared" si="14"/>
        <v>#N/A</v>
      </c>
      <c r="R95" t="e">
        <f t="shared" si="15"/>
        <v>#N/A</v>
      </c>
      <c r="S95" t="e">
        <f t="shared" si="16"/>
        <v>#N/A</v>
      </c>
      <c r="T95" t="e">
        <f t="shared" si="17"/>
        <v>#N/A</v>
      </c>
    </row>
    <row r="96" spans="1:20" ht="16" x14ac:dyDescent="0.2">
      <c r="A96" s="1">
        <v>95</v>
      </c>
      <c r="B96" s="1" t="s">
        <v>17</v>
      </c>
      <c r="C96" s="1" t="s">
        <v>23</v>
      </c>
      <c r="D96" s="1">
        <v>36.200000000000003</v>
      </c>
      <c r="E96" s="1">
        <v>17.3</v>
      </c>
      <c r="F96" s="1">
        <v>187</v>
      </c>
      <c r="G96" s="1">
        <v>3300</v>
      </c>
      <c r="H96" s="1" t="s">
        <v>20</v>
      </c>
      <c r="I96" s="1">
        <v>2008</v>
      </c>
      <c r="L96">
        <f t="shared" si="9"/>
        <v>187</v>
      </c>
      <c r="M96">
        <f t="shared" si="10"/>
        <v>3300</v>
      </c>
      <c r="N96">
        <f t="shared" si="11"/>
        <v>36.200000000000003</v>
      </c>
      <c r="O96" t="e">
        <f t="shared" si="12"/>
        <v>#N/A</v>
      </c>
      <c r="P96" t="e">
        <f t="shared" si="13"/>
        <v>#N/A</v>
      </c>
      <c r="Q96" t="e">
        <f t="shared" si="14"/>
        <v>#N/A</v>
      </c>
      <c r="R96" t="e">
        <f t="shared" si="15"/>
        <v>#N/A</v>
      </c>
      <c r="S96" t="e">
        <f t="shared" si="16"/>
        <v>#N/A</v>
      </c>
      <c r="T96" t="e">
        <f t="shared" si="17"/>
        <v>#N/A</v>
      </c>
    </row>
    <row r="97" spans="1:20" ht="16" x14ac:dyDescent="0.2">
      <c r="A97" s="1">
        <v>96</v>
      </c>
      <c r="B97" s="1" t="s">
        <v>17</v>
      </c>
      <c r="C97" s="1" t="s">
        <v>23</v>
      </c>
      <c r="D97" s="1">
        <v>40.799999999999997</v>
      </c>
      <c r="E97" s="1">
        <v>18.899999999999999</v>
      </c>
      <c r="F97" s="1">
        <v>208</v>
      </c>
      <c r="G97" s="1">
        <v>4300</v>
      </c>
      <c r="H97" s="1" t="s">
        <v>19</v>
      </c>
      <c r="I97" s="1">
        <v>2008</v>
      </c>
      <c r="L97">
        <f t="shared" si="9"/>
        <v>208</v>
      </c>
      <c r="M97">
        <f t="shared" si="10"/>
        <v>4300</v>
      </c>
      <c r="N97">
        <f t="shared" si="11"/>
        <v>40.799999999999997</v>
      </c>
      <c r="O97" t="e">
        <f t="shared" si="12"/>
        <v>#N/A</v>
      </c>
      <c r="P97" t="e">
        <f t="shared" si="13"/>
        <v>#N/A</v>
      </c>
      <c r="Q97" t="e">
        <f t="shared" si="14"/>
        <v>#N/A</v>
      </c>
      <c r="R97" t="e">
        <f t="shared" si="15"/>
        <v>#N/A</v>
      </c>
      <c r="S97" t="e">
        <f t="shared" si="16"/>
        <v>#N/A</v>
      </c>
      <c r="T97" t="e">
        <f t="shared" si="17"/>
        <v>#N/A</v>
      </c>
    </row>
    <row r="98" spans="1:20" ht="16" x14ac:dyDescent="0.2">
      <c r="A98" s="1">
        <v>97</v>
      </c>
      <c r="B98" s="1" t="s">
        <v>17</v>
      </c>
      <c r="C98" s="1" t="s">
        <v>23</v>
      </c>
      <c r="D98" s="1">
        <v>38.1</v>
      </c>
      <c r="E98" s="1">
        <v>18.600000000000001</v>
      </c>
      <c r="F98" s="1">
        <v>190</v>
      </c>
      <c r="G98" s="1">
        <v>3700</v>
      </c>
      <c r="H98" s="1" t="s">
        <v>20</v>
      </c>
      <c r="I98" s="1">
        <v>2008</v>
      </c>
      <c r="L98">
        <f t="shared" si="9"/>
        <v>190</v>
      </c>
      <c r="M98">
        <f t="shared" si="10"/>
        <v>3700</v>
      </c>
      <c r="N98">
        <f t="shared" si="11"/>
        <v>38.1</v>
      </c>
      <c r="O98" t="e">
        <f t="shared" si="12"/>
        <v>#N/A</v>
      </c>
      <c r="P98" t="e">
        <f t="shared" si="13"/>
        <v>#N/A</v>
      </c>
      <c r="Q98" t="e">
        <f t="shared" si="14"/>
        <v>#N/A</v>
      </c>
      <c r="R98" t="e">
        <f t="shared" si="15"/>
        <v>#N/A</v>
      </c>
      <c r="S98" t="e">
        <f t="shared" si="16"/>
        <v>#N/A</v>
      </c>
      <c r="T98" t="e">
        <f t="shared" si="17"/>
        <v>#N/A</v>
      </c>
    </row>
    <row r="99" spans="1:20" ht="16" x14ac:dyDescent="0.2">
      <c r="A99" s="1">
        <v>98</v>
      </c>
      <c r="B99" s="1" t="s">
        <v>17</v>
      </c>
      <c r="C99" s="1" t="s">
        <v>23</v>
      </c>
      <c r="D99" s="1">
        <v>40.299999999999997</v>
      </c>
      <c r="E99" s="1">
        <v>18.5</v>
      </c>
      <c r="F99" s="1">
        <v>196</v>
      </c>
      <c r="G99" s="1">
        <v>4350</v>
      </c>
      <c r="H99" s="1" t="s">
        <v>19</v>
      </c>
      <c r="I99" s="1">
        <v>2008</v>
      </c>
      <c r="L99">
        <f t="shared" si="9"/>
        <v>196</v>
      </c>
      <c r="M99">
        <f t="shared" si="10"/>
        <v>4350</v>
      </c>
      <c r="N99">
        <f t="shared" si="11"/>
        <v>40.299999999999997</v>
      </c>
      <c r="O99" t="e">
        <f t="shared" si="12"/>
        <v>#N/A</v>
      </c>
      <c r="P99" t="e">
        <f t="shared" si="13"/>
        <v>#N/A</v>
      </c>
      <c r="Q99" t="e">
        <f t="shared" si="14"/>
        <v>#N/A</v>
      </c>
      <c r="R99" t="e">
        <f t="shared" si="15"/>
        <v>#N/A</v>
      </c>
      <c r="S99" t="e">
        <f t="shared" si="16"/>
        <v>#N/A</v>
      </c>
      <c r="T99" t="e">
        <f t="shared" si="17"/>
        <v>#N/A</v>
      </c>
    </row>
    <row r="100" spans="1:20" ht="16" x14ac:dyDescent="0.2">
      <c r="A100" s="1">
        <v>99</v>
      </c>
      <c r="B100" s="1" t="s">
        <v>17</v>
      </c>
      <c r="C100" s="1" t="s">
        <v>23</v>
      </c>
      <c r="D100" s="1">
        <v>33.1</v>
      </c>
      <c r="E100" s="1">
        <v>16.100000000000001</v>
      </c>
      <c r="F100" s="1">
        <v>178</v>
      </c>
      <c r="G100" s="1">
        <v>2900</v>
      </c>
      <c r="H100" s="1" t="s">
        <v>20</v>
      </c>
      <c r="I100" s="1">
        <v>2008</v>
      </c>
      <c r="L100">
        <f t="shared" si="9"/>
        <v>178</v>
      </c>
      <c r="M100">
        <f t="shared" si="10"/>
        <v>2900</v>
      </c>
      <c r="N100">
        <f t="shared" si="11"/>
        <v>33.1</v>
      </c>
      <c r="O100" t="e">
        <f t="shared" si="12"/>
        <v>#N/A</v>
      </c>
      <c r="P100" t="e">
        <f t="shared" si="13"/>
        <v>#N/A</v>
      </c>
      <c r="Q100" t="e">
        <f t="shared" si="14"/>
        <v>#N/A</v>
      </c>
      <c r="R100" t="e">
        <f t="shared" si="15"/>
        <v>#N/A</v>
      </c>
      <c r="S100" t="e">
        <f t="shared" si="16"/>
        <v>#N/A</v>
      </c>
      <c r="T100" t="e">
        <f t="shared" si="17"/>
        <v>#N/A</v>
      </c>
    </row>
    <row r="101" spans="1:20" ht="16" x14ac:dyDescent="0.2">
      <c r="A101" s="1">
        <v>100</v>
      </c>
      <c r="B101" s="1" t="s">
        <v>17</v>
      </c>
      <c r="C101" s="1" t="s">
        <v>23</v>
      </c>
      <c r="D101" s="1">
        <v>43.2</v>
      </c>
      <c r="E101" s="1">
        <v>18.5</v>
      </c>
      <c r="F101" s="1">
        <v>192</v>
      </c>
      <c r="G101" s="1">
        <v>4100</v>
      </c>
      <c r="H101" s="1" t="s">
        <v>19</v>
      </c>
      <c r="I101" s="1">
        <v>2008</v>
      </c>
      <c r="L101">
        <f t="shared" si="9"/>
        <v>192</v>
      </c>
      <c r="M101">
        <f t="shared" si="10"/>
        <v>4100</v>
      </c>
      <c r="N101">
        <f t="shared" si="11"/>
        <v>43.2</v>
      </c>
      <c r="O101" t="e">
        <f t="shared" si="12"/>
        <v>#N/A</v>
      </c>
      <c r="P101" t="e">
        <f t="shared" si="13"/>
        <v>#N/A</v>
      </c>
      <c r="Q101" t="e">
        <f t="shared" si="14"/>
        <v>#N/A</v>
      </c>
      <c r="R101" t="e">
        <f t="shared" si="15"/>
        <v>#N/A</v>
      </c>
      <c r="S101" t="e">
        <f t="shared" si="16"/>
        <v>#N/A</v>
      </c>
      <c r="T101" t="e">
        <f t="shared" si="17"/>
        <v>#N/A</v>
      </c>
    </row>
    <row r="102" spans="1:20" ht="16" x14ac:dyDescent="0.2">
      <c r="A102" s="1">
        <v>101</v>
      </c>
      <c r="B102" s="1" t="s">
        <v>17</v>
      </c>
      <c r="C102" s="1" t="s">
        <v>22</v>
      </c>
      <c r="D102" s="1">
        <v>35</v>
      </c>
      <c r="E102" s="1">
        <v>17.899999999999999</v>
      </c>
      <c r="F102" s="1">
        <v>192</v>
      </c>
      <c r="G102" s="1">
        <v>3725</v>
      </c>
      <c r="H102" s="1" t="s">
        <v>20</v>
      </c>
      <c r="I102" s="1">
        <v>2009</v>
      </c>
      <c r="L102">
        <f t="shared" si="9"/>
        <v>192</v>
      </c>
      <c r="M102">
        <f t="shared" si="10"/>
        <v>3725</v>
      </c>
      <c r="N102">
        <f t="shared" si="11"/>
        <v>35</v>
      </c>
      <c r="O102" t="e">
        <f t="shared" si="12"/>
        <v>#N/A</v>
      </c>
      <c r="P102" t="e">
        <f t="shared" si="13"/>
        <v>#N/A</v>
      </c>
      <c r="Q102" t="e">
        <f t="shared" si="14"/>
        <v>#N/A</v>
      </c>
      <c r="R102" t="e">
        <f t="shared" si="15"/>
        <v>#N/A</v>
      </c>
      <c r="S102" t="e">
        <f t="shared" si="16"/>
        <v>#N/A</v>
      </c>
      <c r="T102" t="e">
        <f t="shared" si="17"/>
        <v>#N/A</v>
      </c>
    </row>
    <row r="103" spans="1:20" ht="16" x14ac:dyDescent="0.2">
      <c r="A103" s="1">
        <v>102</v>
      </c>
      <c r="B103" s="1" t="s">
        <v>17</v>
      </c>
      <c r="C103" s="1" t="s">
        <v>22</v>
      </c>
      <c r="D103" s="1">
        <v>41</v>
      </c>
      <c r="E103" s="1">
        <v>20</v>
      </c>
      <c r="F103" s="1">
        <v>203</v>
      </c>
      <c r="G103" s="1">
        <v>4725</v>
      </c>
      <c r="H103" s="1" t="s">
        <v>19</v>
      </c>
      <c r="I103" s="1">
        <v>2009</v>
      </c>
      <c r="L103">
        <f t="shared" si="9"/>
        <v>203</v>
      </c>
      <c r="M103">
        <f t="shared" si="10"/>
        <v>4725</v>
      </c>
      <c r="N103">
        <f t="shared" si="11"/>
        <v>41</v>
      </c>
      <c r="O103" t="e">
        <f t="shared" si="12"/>
        <v>#N/A</v>
      </c>
      <c r="P103" t="e">
        <f t="shared" si="13"/>
        <v>#N/A</v>
      </c>
      <c r="Q103" t="e">
        <f t="shared" si="14"/>
        <v>#N/A</v>
      </c>
      <c r="R103" t="e">
        <f t="shared" si="15"/>
        <v>#N/A</v>
      </c>
      <c r="S103" t="e">
        <f t="shared" si="16"/>
        <v>#N/A</v>
      </c>
      <c r="T103" t="e">
        <f t="shared" si="17"/>
        <v>#N/A</v>
      </c>
    </row>
    <row r="104" spans="1:20" ht="16" x14ac:dyDescent="0.2">
      <c r="A104" s="1">
        <v>103</v>
      </c>
      <c r="B104" s="1" t="s">
        <v>17</v>
      </c>
      <c r="C104" s="1" t="s">
        <v>22</v>
      </c>
      <c r="D104" s="1">
        <v>37.700000000000003</v>
      </c>
      <c r="E104" s="1">
        <v>16</v>
      </c>
      <c r="F104" s="1">
        <v>183</v>
      </c>
      <c r="G104" s="1">
        <v>3075</v>
      </c>
      <c r="H104" s="1" t="s">
        <v>20</v>
      </c>
      <c r="I104" s="1">
        <v>2009</v>
      </c>
      <c r="L104">
        <f t="shared" si="9"/>
        <v>183</v>
      </c>
      <c r="M104">
        <f t="shared" si="10"/>
        <v>3075</v>
      </c>
      <c r="N104">
        <f t="shared" si="11"/>
        <v>37.700000000000003</v>
      </c>
      <c r="O104" t="e">
        <f t="shared" si="12"/>
        <v>#N/A</v>
      </c>
      <c r="P104" t="e">
        <f t="shared" si="13"/>
        <v>#N/A</v>
      </c>
      <c r="Q104" t="e">
        <f t="shared" si="14"/>
        <v>#N/A</v>
      </c>
      <c r="R104" t="e">
        <f t="shared" si="15"/>
        <v>#N/A</v>
      </c>
      <c r="S104" t="e">
        <f t="shared" si="16"/>
        <v>#N/A</v>
      </c>
      <c r="T104" t="e">
        <f t="shared" si="17"/>
        <v>#N/A</v>
      </c>
    </row>
    <row r="105" spans="1:20" ht="16" x14ac:dyDescent="0.2">
      <c r="A105" s="1">
        <v>104</v>
      </c>
      <c r="B105" s="1" t="s">
        <v>17</v>
      </c>
      <c r="C105" s="1" t="s">
        <v>22</v>
      </c>
      <c r="D105" s="1">
        <v>37.799999999999997</v>
      </c>
      <c r="E105" s="1">
        <v>20</v>
      </c>
      <c r="F105" s="1">
        <v>190</v>
      </c>
      <c r="G105" s="1">
        <v>4250</v>
      </c>
      <c r="H105" s="1" t="s">
        <v>19</v>
      </c>
      <c r="I105" s="1">
        <v>2009</v>
      </c>
      <c r="L105">
        <f t="shared" si="9"/>
        <v>190</v>
      </c>
      <c r="M105">
        <f t="shared" si="10"/>
        <v>4250</v>
      </c>
      <c r="N105">
        <f t="shared" si="11"/>
        <v>37.799999999999997</v>
      </c>
      <c r="O105" t="e">
        <f t="shared" si="12"/>
        <v>#N/A</v>
      </c>
      <c r="P105" t="e">
        <f t="shared" si="13"/>
        <v>#N/A</v>
      </c>
      <c r="Q105" t="e">
        <f t="shared" si="14"/>
        <v>#N/A</v>
      </c>
      <c r="R105" t="e">
        <f t="shared" si="15"/>
        <v>#N/A</v>
      </c>
      <c r="S105" t="e">
        <f t="shared" si="16"/>
        <v>#N/A</v>
      </c>
      <c r="T105" t="e">
        <f t="shared" si="17"/>
        <v>#N/A</v>
      </c>
    </row>
    <row r="106" spans="1:20" ht="16" x14ac:dyDescent="0.2">
      <c r="A106" s="1">
        <v>105</v>
      </c>
      <c r="B106" s="1" t="s">
        <v>17</v>
      </c>
      <c r="C106" s="1" t="s">
        <v>22</v>
      </c>
      <c r="D106" s="1">
        <v>37.9</v>
      </c>
      <c r="E106" s="1">
        <v>18.600000000000001</v>
      </c>
      <c r="F106" s="1">
        <v>193</v>
      </c>
      <c r="G106" s="1">
        <v>2925</v>
      </c>
      <c r="H106" s="1" t="s">
        <v>20</v>
      </c>
      <c r="I106" s="1">
        <v>2009</v>
      </c>
      <c r="L106">
        <f t="shared" si="9"/>
        <v>193</v>
      </c>
      <c r="M106">
        <f t="shared" si="10"/>
        <v>2925</v>
      </c>
      <c r="N106">
        <f t="shared" si="11"/>
        <v>37.9</v>
      </c>
      <c r="O106" t="e">
        <f t="shared" si="12"/>
        <v>#N/A</v>
      </c>
      <c r="P106" t="e">
        <f t="shared" si="13"/>
        <v>#N/A</v>
      </c>
      <c r="Q106" t="e">
        <f t="shared" si="14"/>
        <v>#N/A</v>
      </c>
      <c r="R106" t="e">
        <f t="shared" si="15"/>
        <v>#N/A</v>
      </c>
      <c r="S106" t="e">
        <f t="shared" si="16"/>
        <v>#N/A</v>
      </c>
      <c r="T106" t="e">
        <f t="shared" si="17"/>
        <v>#N/A</v>
      </c>
    </row>
    <row r="107" spans="1:20" ht="16" x14ac:dyDescent="0.2">
      <c r="A107" s="1">
        <v>106</v>
      </c>
      <c r="B107" s="1" t="s">
        <v>17</v>
      </c>
      <c r="C107" s="1" t="s">
        <v>22</v>
      </c>
      <c r="D107" s="1">
        <v>39.700000000000003</v>
      </c>
      <c r="E107" s="1">
        <v>18.899999999999999</v>
      </c>
      <c r="F107" s="1">
        <v>184</v>
      </c>
      <c r="G107" s="1">
        <v>3550</v>
      </c>
      <c r="H107" s="1" t="s">
        <v>19</v>
      </c>
      <c r="I107" s="1">
        <v>2009</v>
      </c>
      <c r="L107">
        <f t="shared" si="9"/>
        <v>184</v>
      </c>
      <c r="M107">
        <f t="shared" si="10"/>
        <v>3550</v>
      </c>
      <c r="N107">
        <f t="shared" si="11"/>
        <v>39.700000000000003</v>
      </c>
      <c r="O107" t="e">
        <f t="shared" si="12"/>
        <v>#N/A</v>
      </c>
      <c r="P107" t="e">
        <f t="shared" si="13"/>
        <v>#N/A</v>
      </c>
      <c r="Q107" t="e">
        <f t="shared" si="14"/>
        <v>#N/A</v>
      </c>
      <c r="R107" t="e">
        <f t="shared" si="15"/>
        <v>#N/A</v>
      </c>
      <c r="S107" t="e">
        <f t="shared" si="16"/>
        <v>#N/A</v>
      </c>
      <c r="T107" t="e">
        <f t="shared" si="17"/>
        <v>#N/A</v>
      </c>
    </row>
    <row r="108" spans="1:20" ht="16" x14ac:dyDescent="0.2">
      <c r="A108" s="1">
        <v>107</v>
      </c>
      <c r="B108" s="1" t="s">
        <v>17</v>
      </c>
      <c r="C108" s="1" t="s">
        <v>22</v>
      </c>
      <c r="D108" s="1">
        <v>38.6</v>
      </c>
      <c r="E108" s="1">
        <v>17.2</v>
      </c>
      <c r="F108" s="1">
        <v>199</v>
      </c>
      <c r="G108" s="1">
        <v>3750</v>
      </c>
      <c r="H108" s="1" t="s">
        <v>20</v>
      </c>
      <c r="I108" s="1">
        <v>2009</v>
      </c>
      <c r="L108">
        <f t="shared" si="9"/>
        <v>199</v>
      </c>
      <c r="M108">
        <f t="shared" si="10"/>
        <v>3750</v>
      </c>
      <c r="N108">
        <f t="shared" si="11"/>
        <v>38.6</v>
      </c>
      <c r="O108" t="e">
        <f t="shared" si="12"/>
        <v>#N/A</v>
      </c>
      <c r="P108" t="e">
        <f t="shared" si="13"/>
        <v>#N/A</v>
      </c>
      <c r="Q108" t="e">
        <f t="shared" si="14"/>
        <v>#N/A</v>
      </c>
      <c r="R108" t="e">
        <f t="shared" si="15"/>
        <v>#N/A</v>
      </c>
      <c r="S108" t="e">
        <f t="shared" si="16"/>
        <v>#N/A</v>
      </c>
      <c r="T108" t="e">
        <f t="shared" si="17"/>
        <v>#N/A</v>
      </c>
    </row>
    <row r="109" spans="1:20" ht="16" x14ac:dyDescent="0.2">
      <c r="A109" s="1">
        <v>108</v>
      </c>
      <c r="B109" s="1" t="s">
        <v>17</v>
      </c>
      <c r="C109" s="1" t="s">
        <v>22</v>
      </c>
      <c r="D109" s="1">
        <v>38.200000000000003</v>
      </c>
      <c r="E109" s="1">
        <v>20</v>
      </c>
      <c r="F109" s="1">
        <v>190</v>
      </c>
      <c r="G109" s="1">
        <v>3900</v>
      </c>
      <c r="H109" s="1" t="s">
        <v>19</v>
      </c>
      <c r="I109" s="1">
        <v>2009</v>
      </c>
      <c r="L109">
        <f t="shared" si="9"/>
        <v>190</v>
      </c>
      <c r="M109">
        <f t="shared" si="10"/>
        <v>3900</v>
      </c>
      <c r="N109">
        <f t="shared" si="11"/>
        <v>38.200000000000003</v>
      </c>
      <c r="O109" t="e">
        <f t="shared" si="12"/>
        <v>#N/A</v>
      </c>
      <c r="P109" t="e">
        <f t="shared" si="13"/>
        <v>#N/A</v>
      </c>
      <c r="Q109" t="e">
        <f t="shared" si="14"/>
        <v>#N/A</v>
      </c>
      <c r="R109" t="e">
        <f t="shared" si="15"/>
        <v>#N/A</v>
      </c>
      <c r="S109" t="e">
        <f t="shared" si="16"/>
        <v>#N/A</v>
      </c>
      <c r="T109" t="e">
        <f t="shared" si="17"/>
        <v>#N/A</v>
      </c>
    </row>
    <row r="110" spans="1:20" ht="16" x14ac:dyDescent="0.2">
      <c r="A110" s="1">
        <v>109</v>
      </c>
      <c r="B110" s="1" t="s">
        <v>17</v>
      </c>
      <c r="C110" s="1" t="s">
        <v>22</v>
      </c>
      <c r="D110" s="1">
        <v>38.1</v>
      </c>
      <c r="E110" s="1">
        <v>17</v>
      </c>
      <c r="F110" s="1">
        <v>181</v>
      </c>
      <c r="G110" s="1">
        <v>3175</v>
      </c>
      <c r="H110" s="1" t="s">
        <v>20</v>
      </c>
      <c r="I110" s="1">
        <v>2009</v>
      </c>
      <c r="L110">
        <f t="shared" si="9"/>
        <v>181</v>
      </c>
      <c r="M110">
        <f t="shared" si="10"/>
        <v>3175</v>
      </c>
      <c r="N110">
        <f t="shared" si="11"/>
        <v>38.1</v>
      </c>
      <c r="O110" t="e">
        <f t="shared" si="12"/>
        <v>#N/A</v>
      </c>
      <c r="P110" t="e">
        <f t="shared" si="13"/>
        <v>#N/A</v>
      </c>
      <c r="Q110" t="e">
        <f t="shared" si="14"/>
        <v>#N/A</v>
      </c>
      <c r="R110" t="e">
        <f t="shared" si="15"/>
        <v>#N/A</v>
      </c>
      <c r="S110" t="e">
        <f t="shared" si="16"/>
        <v>#N/A</v>
      </c>
      <c r="T110" t="e">
        <f t="shared" si="17"/>
        <v>#N/A</v>
      </c>
    </row>
    <row r="111" spans="1:20" ht="16" x14ac:dyDescent="0.2">
      <c r="A111" s="1">
        <v>110</v>
      </c>
      <c r="B111" s="1" t="s">
        <v>17</v>
      </c>
      <c r="C111" s="1" t="s">
        <v>22</v>
      </c>
      <c r="D111" s="1">
        <v>43.2</v>
      </c>
      <c r="E111" s="1">
        <v>19</v>
      </c>
      <c r="F111" s="1">
        <v>197</v>
      </c>
      <c r="G111" s="1">
        <v>4775</v>
      </c>
      <c r="H111" s="1" t="s">
        <v>19</v>
      </c>
      <c r="I111" s="1">
        <v>2009</v>
      </c>
      <c r="L111">
        <f t="shared" si="9"/>
        <v>197</v>
      </c>
      <c r="M111">
        <f t="shared" si="10"/>
        <v>4775</v>
      </c>
      <c r="N111">
        <f t="shared" si="11"/>
        <v>43.2</v>
      </c>
      <c r="O111" t="e">
        <f t="shared" si="12"/>
        <v>#N/A</v>
      </c>
      <c r="P111" t="e">
        <f t="shared" si="13"/>
        <v>#N/A</v>
      </c>
      <c r="Q111" t="e">
        <f t="shared" si="14"/>
        <v>#N/A</v>
      </c>
      <c r="R111" t="e">
        <f t="shared" si="15"/>
        <v>#N/A</v>
      </c>
      <c r="S111" t="e">
        <f t="shared" si="16"/>
        <v>#N/A</v>
      </c>
      <c r="T111" t="e">
        <f t="shared" si="17"/>
        <v>#N/A</v>
      </c>
    </row>
    <row r="112" spans="1:20" ht="16" x14ac:dyDescent="0.2">
      <c r="A112" s="1">
        <v>111</v>
      </c>
      <c r="B112" s="1" t="s">
        <v>17</v>
      </c>
      <c r="C112" s="1" t="s">
        <v>22</v>
      </c>
      <c r="D112" s="1">
        <v>38.1</v>
      </c>
      <c r="E112" s="1">
        <v>16.5</v>
      </c>
      <c r="F112" s="1">
        <v>198</v>
      </c>
      <c r="G112" s="1">
        <v>3825</v>
      </c>
      <c r="H112" s="1" t="s">
        <v>20</v>
      </c>
      <c r="I112" s="1">
        <v>2009</v>
      </c>
      <c r="L112">
        <f t="shared" si="9"/>
        <v>198</v>
      </c>
      <c r="M112">
        <f t="shared" si="10"/>
        <v>3825</v>
      </c>
      <c r="N112">
        <f t="shared" si="11"/>
        <v>38.1</v>
      </c>
      <c r="O112" t="e">
        <f t="shared" si="12"/>
        <v>#N/A</v>
      </c>
      <c r="P112" t="e">
        <f t="shared" si="13"/>
        <v>#N/A</v>
      </c>
      <c r="Q112" t="e">
        <f t="shared" si="14"/>
        <v>#N/A</v>
      </c>
      <c r="R112" t="e">
        <f t="shared" si="15"/>
        <v>#N/A</v>
      </c>
      <c r="S112" t="e">
        <f t="shared" si="16"/>
        <v>#N/A</v>
      </c>
      <c r="T112" t="e">
        <f t="shared" si="17"/>
        <v>#N/A</v>
      </c>
    </row>
    <row r="113" spans="1:20" ht="16" x14ac:dyDescent="0.2">
      <c r="A113" s="1">
        <v>112</v>
      </c>
      <c r="B113" s="1" t="s">
        <v>17</v>
      </c>
      <c r="C113" s="1" t="s">
        <v>22</v>
      </c>
      <c r="D113" s="1">
        <v>45.6</v>
      </c>
      <c r="E113" s="1">
        <v>20.3</v>
      </c>
      <c r="F113" s="1">
        <v>191</v>
      </c>
      <c r="G113" s="1">
        <v>4600</v>
      </c>
      <c r="H113" s="1" t="s">
        <v>19</v>
      </c>
      <c r="I113" s="1">
        <v>2009</v>
      </c>
      <c r="L113">
        <f t="shared" si="9"/>
        <v>191</v>
      </c>
      <c r="M113">
        <f t="shared" si="10"/>
        <v>4600</v>
      </c>
      <c r="N113">
        <f t="shared" si="11"/>
        <v>45.6</v>
      </c>
      <c r="O113" t="e">
        <f t="shared" si="12"/>
        <v>#N/A</v>
      </c>
      <c r="P113" t="e">
        <f t="shared" si="13"/>
        <v>#N/A</v>
      </c>
      <c r="Q113" t="e">
        <f t="shared" si="14"/>
        <v>#N/A</v>
      </c>
      <c r="R113" t="e">
        <f t="shared" si="15"/>
        <v>#N/A</v>
      </c>
      <c r="S113" t="e">
        <f t="shared" si="16"/>
        <v>#N/A</v>
      </c>
      <c r="T113" t="e">
        <f t="shared" si="17"/>
        <v>#N/A</v>
      </c>
    </row>
    <row r="114" spans="1:20" ht="16" x14ac:dyDescent="0.2">
      <c r="A114" s="1">
        <v>113</v>
      </c>
      <c r="B114" s="1" t="s">
        <v>17</v>
      </c>
      <c r="C114" s="1" t="s">
        <v>22</v>
      </c>
      <c r="D114" s="1">
        <v>39.700000000000003</v>
      </c>
      <c r="E114" s="1">
        <v>17.7</v>
      </c>
      <c r="F114" s="1">
        <v>193</v>
      </c>
      <c r="G114" s="1">
        <v>3200</v>
      </c>
      <c r="H114" s="1" t="s">
        <v>20</v>
      </c>
      <c r="I114" s="1">
        <v>2009</v>
      </c>
      <c r="L114">
        <f t="shared" si="9"/>
        <v>193</v>
      </c>
      <c r="M114">
        <f t="shared" si="10"/>
        <v>3200</v>
      </c>
      <c r="N114">
        <f t="shared" si="11"/>
        <v>39.700000000000003</v>
      </c>
      <c r="O114" t="e">
        <f t="shared" si="12"/>
        <v>#N/A</v>
      </c>
      <c r="P114" t="e">
        <f t="shared" si="13"/>
        <v>#N/A</v>
      </c>
      <c r="Q114" t="e">
        <f t="shared" si="14"/>
        <v>#N/A</v>
      </c>
      <c r="R114" t="e">
        <f t="shared" si="15"/>
        <v>#N/A</v>
      </c>
      <c r="S114" t="e">
        <f t="shared" si="16"/>
        <v>#N/A</v>
      </c>
      <c r="T114" t="e">
        <f t="shared" si="17"/>
        <v>#N/A</v>
      </c>
    </row>
    <row r="115" spans="1:20" ht="16" x14ac:dyDescent="0.2">
      <c r="A115" s="1">
        <v>114</v>
      </c>
      <c r="B115" s="1" t="s">
        <v>17</v>
      </c>
      <c r="C115" s="1" t="s">
        <v>22</v>
      </c>
      <c r="D115" s="1">
        <v>42.2</v>
      </c>
      <c r="E115" s="1">
        <v>19.5</v>
      </c>
      <c r="F115" s="1">
        <v>197</v>
      </c>
      <c r="G115" s="1">
        <v>4275</v>
      </c>
      <c r="H115" s="1" t="s">
        <v>19</v>
      </c>
      <c r="I115" s="1">
        <v>2009</v>
      </c>
      <c r="L115">
        <f t="shared" si="9"/>
        <v>197</v>
      </c>
      <c r="M115">
        <f t="shared" si="10"/>
        <v>4275</v>
      </c>
      <c r="N115">
        <f t="shared" si="11"/>
        <v>42.2</v>
      </c>
      <c r="O115" t="e">
        <f t="shared" si="12"/>
        <v>#N/A</v>
      </c>
      <c r="P115" t="e">
        <f t="shared" si="13"/>
        <v>#N/A</v>
      </c>
      <c r="Q115" t="e">
        <f t="shared" si="14"/>
        <v>#N/A</v>
      </c>
      <c r="R115" t="e">
        <f t="shared" si="15"/>
        <v>#N/A</v>
      </c>
      <c r="S115" t="e">
        <f t="shared" si="16"/>
        <v>#N/A</v>
      </c>
      <c r="T115" t="e">
        <f t="shared" si="17"/>
        <v>#N/A</v>
      </c>
    </row>
    <row r="116" spans="1:20" ht="16" x14ac:dyDescent="0.2">
      <c r="A116" s="1">
        <v>115</v>
      </c>
      <c r="B116" s="1" t="s">
        <v>17</v>
      </c>
      <c r="C116" s="1" t="s">
        <v>22</v>
      </c>
      <c r="D116" s="1">
        <v>39.6</v>
      </c>
      <c r="E116" s="1">
        <v>20.7</v>
      </c>
      <c r="F116" s="1">
        <v>191</v>
      </c>
      <c r="G116" s="1">
        <v>3900</v>
      </c>
      <c r="H116" s="1" t="s">
        <v>20</v>
      </c>
      <c r="I116" s="1">
        <v>2009</v>
      </c>
      <c r="L116">
        <f t="shared" si="9"/>
        <v>191</v>
      </c>
      <c r="M116">
        <f t="shared" si="10"/>
        <v>3900</v>
      </c>
      <c r="N116">
        <f t="shared" si="11"/>
        <v>39.6</v>
      </c>
      <c r="O116" t="e">
        <f t="shared" si="12"/>
        <v>#N/A</v>
      </c>
      <c r="P116" t="e">
        <f t="shared" si="13"/>
        <v>#N/A</v>
      </c>
      <c r="Q116" t="e">
        <f t="shared" si="14"/>
        <v>#N/A</v>
      </c>
      <c r="R116" t="e">
        <f t="shared" si="15"/>
        <v>#N/A</v>
      </c>
      <c r="S116" t="e">
        <f t="shared" si="16"/>
        <v>#N/A</v>
      </c>
      <c r="T116" t="e">
        <f t="shared" si="17"/>
        <v>#N/A</v>
      </c>
    </row>
    <row r="117" spans="1:20" ht="16" x14ac:dyDescent="0.2">
      <c r="A117" s="1">
        <v>116</v>
      </c>
      <c r="B117" s="1" t="s">
        <v>17</v>
      </c>
      <c r="C117" s="1" t="s">
        <v>22</v>
      </c>
      <c r="D117" s="1">
        <v>42.7</v>
      </c>
      <c r="E117" s="1">
        <v>18.3</v>
      </c>
      <c r="F117" s="1">
        <v>196</v>
      </c>
      <c r="G117" s="1">
        <v>4075</v>
      </c>
      <c r="H117" s="1" t="s">
        <v>19</v>
      </c>
      <c r="I117" s="1">
        <v>2009</v>
      </c>
      <c r="L117">
        <f t="shared" si="9"/>
        <v>196</v>
      </c>
      <c r="M117">
        <f t="shared" si="10"/>
        <v>4075</v>
      </c>
      <c r="N117">
        <f t="shared" si="11"/>
        <v>42.7</v>
      </c>
      <c r="O117" t="e">
        <f t="shared" si="12"/>
        <v>#N/A</v>
      </c>
      <c r="P117" t="e">
        <f t="shared" si="13"/>
        <v>#N/A</v>
      </c>
      <c r="Q117" t="e">
        <f t="shared" si="14"/>
        <v>#N/A</v>
      </c>
      <c r="R117" t="e">
        <f t="shared" si="15"/>
        <v>#N/A</v>
      </c>
      <c r="S117" t="e">
        <f t="shared" si="16"/>
        <v>#N/A</v>
      </c>
      <c r="T117" t="e">
        <f t="shared" si="17"/>
        <v>#N/A</v>
      </c>
    </row>
    <row r="118" spans="1:20" ht="16" x14ac:dyDescent="0.2">
      <c r="A118" s="1">
        <v>117</v>
      </c>
      <c r="B118" s="1" t="s">
        <v>17</v>
      </c>
      <c r="C118" s="1" t="s">
        <v>18</v>
      </c>
      <c r="D118" s="1">
        <v>38.6</v>
      </c>
      <c r="E118" s="1">
        <v>17</v>
      </c>
      <c r="F118" s="1">
        <v>188</v>
      </c>
      <c r="G118" s="1">
        <v>2900</v>
      </c>
      <c r="H118" s="1" t="s">
        <v>20</v>
      </c>
      <c r="I118" s="1">
        <v>2009</v>
      </c>
      <c r="L118">
        <f t="shared" si="9"/>
        <v>188</v>
      </c>
      <c r="M118">
        <f t="shared" si="10"/>
        <v>2900</v>
      </c>
      <c r="N118">
        <f t="shared" si="11"/>
        <v>38.6</v>
      </c>
      <c r="O118" t="e">
        <f t="shared" si="12"/>
        <v>#N/A</v>
      </c>
      <c r="P118" t="e">
        <f t="shared" si="13"/>
        <v>#N/A</v>
      </c>
      <c r="Q118" t="e">
        <f t="shared" si="14"/>
        <v>#N/A</v>
      </c>
      <c r="R118" t="e">
        <f t="shared" si="15"/>
        <v>#N/A</v>
      </c>
      <c r="S118" t="e">
        <f t="shared" si="16"/>
        <v>#N/A</v>
      </c>
      <c r="T118" t="e">
        <f t="shared" si="17"/>
        <v>#N/A</v>
      </c>
    </row>
    <row r="119" spans="1:20" ht="16" x14ac:dyDescent="0.2">
      <c r="A119" s="1">
        <v>118</v>
      </c>
      <c r="B119" s="1" t="s">
        <v>17</v>
      </c>
      <c r="C119" s="1" t="s">
        <v>18</v>
      </c>
      <c r="D119" s="1">
        <v>37.299999999999997</v>
      </c>
      <c r="E119" s="1">
        <v>20.5</v>
      </c>
      <c r="F119" s="1">
        <v>199</v>
      </c>
      <c r="G119" s="1">
        <v>3775</v>
      </c>
      <c r="H119" s="1" t="s">
        <v>19</v>
      </c>
      <c r="I119" s="1">
        <v>2009</v>
      </c>
      <c r="L119">
        <f t="shared" si="9"/>
        <v>199</v>
      </c>
      <c r="M119">
        <f t="shared" si="10"/>
        <v>3775</v>
      </c>
      <c r="N119">
        <f t="shared" si="11"/>
        <v>37.299999999999997</v>
      </c>
      <c r="O119" t="e">
        <f t="shared" si="12"/>
        <v>#N/A</v>
      </c>
      <c r="P119" t="e">
        <f t="shared" si="13"/>
        <v>#N/A</v>
      </c>
      <c r="Q119" t="e">
        <f t="shared" si="14"/>
        <v>#N/A</v>
      </c>
      <c r="R119" t="e">
        <f t="shared" si="15"/>
        <v>#N/A</v>
      </c>
      <c r="S119" t="e">
        <f t="shared" si="16"/>
        <v>#N/A</v>
      </c>
      <c r="T119" t="e">
        <f t="shared" si="17"/>
        <v>#N/A</v>
      </c>
    </row>
    <row r="120" spans="1:20" ht="16" x14ac:dyDescent="0.2">
      <c r="A120" s="1">
        <v>119</v>
      </c>
      <c r="B120" s="1" t="s">
        <v>17</v>
      </c>
      <c r="C120" s="1" t="s">
        <v>18</v>
      </c>
      <c r="D120" s="1">
        <v>35.700000000000003</v>
      </c>
      <c r="E120" s="1">
        <v>17</v>
      </c>
      <c r="F120" s="1">
        <v>189</v>
      </c>
      <c r="G120" s="1">
        <v>3350</v>
      </c>
      <c r="H120" s="1" t="s">
        <v>20</v>
      </c>
      <c r="I120" s="1">
        <v>2009</v>
      </c>
      <c r="L120">
        <f t="shared" si="9"/>
        <v>189</v>
      </c>
      <c r="M120">
        <f t="shared" si="10"/>
        <v>3350</v>
      </c>
      <c r="N120">
        <f t="shared" si="11"/>
        <v>35.700000000000003</v>
      </c>
      <c r="O120" t="e">
        <f t="shared" si="12"/>
        <v>#N/A</v>
      </c>
      <c r="P120" t="e">
        <f t="shared" si="13"/>
        <v>#N/A</v>
      </c>
      <c r="Q120" t="e">
        <f t="shared" si="14"/>
        <v>#N/A</v>
      </c>
      <c r="R120" t="e">
        <f t="shared" si="15"/>
        <v>#N/A</v>
      </c>
      <c r="S120" t="e">
        <f t="shared" si="16"/>
        <v>#N/A</v>
      </c>
      <c r="T120" t="e">
        <f t="shared" si="17"/>
        <v>#N/A</v>
      </c>
    </row>
    <row r="121" spans="1:20" ht="16" x14ac:dyDescent="0.2">
      <c r="A121" s="1">
        <v>120</v>
      </c>
      <c r="B121" s="1" t="s">
        <v>17</v>
      </c>
      <c r="C121" s="1" t="s">
        <v>18</v>
      </c>
      <c r="D121" s="1">
        <v>41.1</v>
      </c>
      <c r="E121" s="1">
        <v>18.600000000000001</v>
      </c>
      <c r="F121" s="1">
        <v>189</v>
      </c>
      <c r="G121" s="1">
        <v>3325</v>
      </c>
      <c r="H121" s="1" t="s">
        <v>19</v>
      </c>
      <c r="I121" s="1">
        <v>2009</v>
      </c>
      <c r="L121">
        <f t="shared" si="9"/>
        <v>189</v>
      </c>
      <c r="M121">
        <f t="shared" si="10"/>
        <v>3325</v>
      </c>
      <c r="N121">
        <f t="shared" si="11"/>
        <v>41.1</v>
      </c>
      <c r="O121" t="e">
        <f t="shared" si="12"/>
        <v>#N/A</v>
      </c>
      <c r="P121" t="e">
        <f t="shared" si="13"/>
        <v>#N/A</v>
      </c>
      <c r="Q121" t="e">
        <f t="shared" si="14"/>
        <v>#N/A</v>
      </c>
      <c r="R121" t="e">
        <f t="shared" si="15"/>
        <v>#N/A</v>
      </c>
      <c r="S121" t="e">
        <f t="shared" si="16"/>
        <v>#N/A</v>
      </c>
      <c r="T121" t="e">
        <f t="shared" si="17"/>
        <v>#N/A</v>
      </c>
    </row>
    <row r="122" spans="1:20" ht="16" x14ac:dyDescent="0.2">
      <c r="A122" s="1">
        <v>121</v>
      </c>
      <c r="B122" s="1" t="s">
        <v>17</v>
      </c>
      <c r="C122" s="1" t="s">
        <v>18</v>
      </c>
      <c r="D122" s="1">
        <v>36.200000000000003</v>
      </c>
      <c r="E122" s="1">
        <v>17.2</v>
      </c>
      <c r="F122" s="1">
        <v>187</v>
      </c>
      <c r="G122" s="1">
        <v>3150</v>
      </c>
      <c r="H122" s="1" t="s">
        <v>20</v>
      </c>
      <c r="I122" s="1">
        <v>2009</v>
      </c>
      <c r="L122">
        <f t="shared" si="9"/>
        <v>187</v>
      </c>
      <c r="M122">
        <f t="shared" si="10"/>
        <v>3150</v>
      </c>
      <c r="N122">
        <f t="shared" si="11"/>
        <v>36.200000000000003</v>
      </c>
      <c r="O122" t="e">
        <f t="shared" si="12"/>
        <v>#N/A</v>
      </c>
      <c r="P122" t="e">
        <f t="shared" si="13"/>
        <v>#N/A</v>
      </c>
      <c r="Q122" t="e">
        <f t="shared" si="14"/>
        <v>#N/A</v>
      </c>
      <c r="R122" t="e">
        <f t="shared" si="15"/>
        <v>#N/A</v>
      </c>
      <c r="S122" t="e">
        <f t="shared" si="16"/>
        <v>#N/A</v>
      </c>
      <c r="T122" t="e">
        <f t="shared" si="17"/>
        <v>#N/A</v>
      </c>
    </row>
    <row r="123" spans="1:20" ht="16" x14ac:dyDescent="0.2">
      <c r="A123" s="1">
        <v>122</v>
      </c>
      <c r="B123" s="1" t="s">
        <v>17</v>
      </c>
      <c r="C123" s="1" t="s">
        <v>18</v>
      </c>
      <c r="D123" s="1">
        <v>37.700000000000003</v>
      </c>
      <c r="E123" s="1">
        <v>19.8</v>
      </c>
      <c r="F123" s="1">
        <v>198</v>
      </c>
      <c r="G123" s="1">
        <v>3500</v>
      </c>
      <c r="H123" s="1" t="s">
        <v>19</v>
      </c>
      <c r="I123" s="1">
        <v>2009</v>
      </c>
      <c r="L123">
        <f t="shared" si="9"/>
        <v>198</v>
      </c>
      <c r="M123">
        <f t="shared" si="10"/>
        <v>3500</v>
      </c>
      <c r="N123">
        <f t="shared" si="11"/>
        <v>37.700000000000003</v>
      </c>
      <c r="O123" t="e">
        <f t="shared" si="12"/>
        <v>#N/A</v>
      </c>
      <c r="P123" t="e">
        <f t="shared" si="13"/>
        <v>#N/A</v>
      </c>
      <c r="Q123" t="e">
        <f t="shared" si="14"/>
        <v>#N/A</v>
      </c>
      <c r="R123" t="e">
        <f t="shared" si="15"/>
        <v>#N/A</v>
      </c>
      <c r="S123" t="e">
        <f t="shared" si="16"/>
        <v>#N/A</v>
      </c>
      <c r="T123" t="e">
        <f t="shared" si="17"/>
        <v>#N/A</v>
      </c>
    </row>
    <row r="124" spans="1:20" ht="16" x14ac:dyDescent="0.2">
      <c r="A124" s="1">
        <v>123</v>
      </c>
      <c r="B124" s="1" t="s">
        <v>17</v>
      </c>
      <c r="C124" s="1" t="s">
        <v>18</v>
      </c>
      <c r="D124" s="1">
        <v>40.200000000000003</v>
      </c>
      <c r="E124" s="1">
        <v>17</v>
      </c>
      <c r="F124" s="1">
        <v>176</v>
      </c>
      <c r="G124" s="1">
        <v>3450</v>
      </c>
      <c r="H124" s="1" t="s">
        <v>20</v>
      </c>
      <c r="I124" s="1">
        <v>2009</v>
      </c>
      <c r="L124">
        <f t="shared" si="9"/>
        <v>176</v>
      </c>
      <c r="M124">
        <f t="shared" si="10"/>
        <v>3450</v>
      </c>
      <c r="N124">
        <f t="shared" si="11"/>
        <v>40.200000000000003</v>
      </c>
      <c r="O124" t="e">
        <f t="shared" si="12"/>
        <v>#N/A</v>
      </c>
      <c r="P124" t="e">
        <f t="shared" si="13"/>
        <v>#N/A</v>
      </c>
      <c r="Q124" t="e">
        <f t="shared" si="14"/>
        <v>#N/A</v>
      </c>
      <c r="R124" t="e">
        <f t="shared" si="15"/>
        <v>#N/A</v>
      </c>
      <c r="S124" t="e">
        <f t="shared" si="16"/>
        <v>#N/A</v>
      </c>
      <c r="T124" t="e">
        <f t="shared" si="17"/>
        <v>#N/A</v>
      </c>
    </row>
    <row r="125" spans="1:20" ht="16" x14ac:dyDescent="0.2">
      <c r="A125" s="1">
        <v>124</v>
      </c>
      <c r="B125" s="1" t="s">
        <v>17</v>
      </c>
      <c r="C125" s="1" t="s">
        <v>18</v>
      </c>
      <c r="D125" s="1">
        <v>41.4</v>
      </c>
      <c r="E125" s="1">
        <v>18.5</v>
      </c>
      <c r="F125" s="1">
        <v>202</v>
      </c>
      <c r="G125" s="1">
        <v>3875</v>
      </c>
      <c r="H125" s="1" t="s">
        <v>19</v>
      </c>
      <c r="I125" s="1">
        <v>2009</v>
      </c>
      <c r="L125">
        <f t="shared" si="9"/>
        <v>202</v>
      </c>
      <c r="M125">
        <f t="shared" si="10"/>
        <v>3875</v>
      </c>
      <c r="N125">
        <f t="shared" si="11"/>
        <v>41.4</v>
      </c>
      <c r="O125" t="e">
        <f t="shared" si="12"/>
        <v>#N/A</v>
      </c>
      <c r="P125" t="e">
        <f t="shared" si="13"/>
        <v>#N/A</v>
      </c>
      <c r="Q125" t="e">
        <f t="shared" si="14"/>
        <v>#N/A</v>
      </c>
      <c r="R125" t="e">
        <f t="shared" si="15"/>
        <v>#N/A</v>
      </c>
      <c r="S125" t="e">
        <f t="shared" si="16"/>
        <v>#N/A</v>
      </c>
      <c r="T125" t="e">
        <f t="shared" si="17"/>
        <v>#N/A</v>
      </c>
    </row>
    <row r="126" spans="1:20" ht="16" x14ac:dyDescent="0.2">
      <c r="A126" s="1">
        <v>125</v>
      </c>
      <c r="B126" s="1" t="s">
        <v>17</v>
      </c>
      <c r="C126" s="1" t="s">
        <v>18</v>
      </c>
      <c r="D126" s="1">
        <v>35.200000000000003</v>
      </c>
      <c r="E126" s="1">
        <v>15.9</v>
      </c>
      <c r="F126" s="1">
        <v>186</v>
      </c>
      <c r="G126" s="1">
        <v>3050</v>
      </c>
      <c r="H126" s="1" t="s">
        <v>20</v>
      </c>
      <c r="I126" s="1">
        <v>2009</v>
      </c>
      <c r="L126">
        <f t="shared" si="9"/>
        <v>186</v>
      </c>
      <c r="M126">
        <f t="shared" si="10"/>
        <v>3050</v>
      </c>
      <c r="N126">
        <f t="shared" si="11"/>
        <v>35.200000000000003</v>
      </c>
      <c r="O126" t="e">
        <f t="shared" si="12"/>
        <v>#N/A</v>
      </c>
      <c r="P126" t="e">
        <f t="shared" si="13"/>
        <v>#N/A</v>
      </c>
      <c r="Q126" t="e">
        <f t="shared" si="14"/>
        <v>#N/A</v>
      </c>
      <c r="R126" t="e">
        <f t="shared" si="15"/>
        <v>#N/A</v>
      </c>
      <c r="S126" t="e">
        <f t="shared" si="16"/>
        <v>#N/A</v>
      </c>
      <c r="T126" t="e">
        <f t="shared" si="17"/>
        <v>#N/A</v>
      </c>
    </row>
    <row r="127" spans="1:20" ht="16" x14ac:dyDescent="0.2">
      <c r="A127" s="1">
        <v>126</v>
      </c>
      <c r="B127" s="1" t="s">
        <v>17</v>
      </c>
      <c r="C127" s="1" t="s">
        <v>18</v>
      </c>
      <c r="D127" s="1">
        <v>40.6</v>
      </c>
      <c r="E127" s="1">
        <v>19</v>
      </c>
      <c r="F127" s="1">
        <v>199</v>
      </c>
      <c r="G127" s="1">
        <v>4000</v>
      </c>
      <c r="H127" s="1" t="s">
        <v>19</v>
      </c>
      <c r="I127" s="1">
        <v>2009</v>
      </c>
      <c r="L127">
        <f t="shared" si="9"/>
        <v>199</v>
      </c>
      <c r="M127">
        <f t="shared" si="10"/>
        <v>4000</v>
      </c>
      <c r="N127">
        <f t="shared" si="11"/>
        <v>40.6</v>
      </c>
      <c r="O127" t="e">
        <f t="shared" si="12"/>
        <v>#N/A</v>
      </c>
      <c r="P127" t="e">
        <f t="shared" si="13"/>
        <v>#N/A</v>
      </c>
      <c r="Q127" t="e">
        <f t="shared" si="14"/>
        <v>#N/A</v>
      </c>
      <c r="R127" t="e">
        <f t="shared" si="15"/>
        <v>#N/A</v>
      </c>
      <c r="S127" t="e">
        <f t="shared" si="16"/>
        <v>#N/A</v>
      </c>
      <c r="T127" t="e">
        <f t="shared" si="17"/>
        <v>#N/A</v>
      </c>
    </row>
    <row r="128" spans="1:20" ht="16" x14ac:dyDescent="0.2">
      <c r="A128" s="1">
        <v>127</v>
      </c>
      <c r="B128" s="1" t="s">
        <v>17</v>
      </c>
      <c r="C128" s="1" t="s">
        <v>18</v>
      </c>
      <c r="D128" s="1">
        <v>38.799999999999997</v>
      </c>
      <c r="E128" s="1">
        <v>17.600000000000001</v>
      </c>
      <c r="F128" s="1">
        <v>191</v>
      </c>
      <c r="G128" s="1">
        <v>3275</v>
      </c>
      <c r="H128" s="1" t="s">
        <v>20</v>
      </c>
      <c r="I128" s="1">
        <v>2009</v>
      </c>
      <c r="L128">
        <f t="shared" si="9"/>
        <v>191</v>
      </c>
      <c r="M128">
        <f t="shared" si="10"/>
        <v>3275</v>
      </c>
      <c r="N128">
        <f t="shared" si="11"/>
        <v>38.799999999999997</v>
      </c>
      <c r="O128" t="e">
        <f t="shared" si="12"/>
        <v>#N/A</v>
      </c>
      <c r="P128" t="e">
        <f t="shared" si="13"/>
        <v>#N/A</v>
      </c>
      <c r="Q128" t="e">
        <f t="shared" si="14"/>
        <v>#N/A</v>
      </c>
      <c r="R128" t="e">
        <f t="shared" si="15"/>
        <v>#N/A</v>
      </c>
      <c r="S128" t="e">
        <f t="shared" si="16"/>
        <v>#N/A</v>
      </c>
      <c r="T128" t="e">
        <f t="shared" si="17"/>
        <v>#N/A</v>
      </c>
    </row>
    <row r="129" spans="1:20" ht="16" x14ac:dyDescent="0.2">
      <c r="A129" s="1">
        <v>128</v>
      </c>
      <c r="B129" s="1" t="s">
        <v>17</v>
      </c>
      <c r="C129" s="1" t="s">
        <v>18</v>
      </c>
      <c r="D129" s="1">
        <v>41.5</v>
      </c>
      <c r="E129" s="1">
        <v>18.3</v>
      </c>
      <c r="F129" s="1">
        <v>195</v>
      </c>
      <c r="G129" s="1">
        <v>4300</v>
      </c>
      <c r="H129" s="1" t="s">
        <v>19</v>
      </c>
      <c r="I129" s="1">
        <v>2009</v>
      </c>
      <c r="L129">
        <f t="shared" si="9"/>
        <v>195</v>
      </c>
      <c r="M129">
        <f t="shared" si="10"/>
        <v>4300</v>
      </c>
      <c r="N129">
        <f t="shared" si="11"/>
        <v>41.5</v>
      </c>
      <c r="O129" t="e">
        <f t="shared" si="12"/>
        <v>#N/A</v>
      </c>
      <c r="P129" t="e">
        <f t="shared" si="13"/>
        <v>#N/A</v>
      </c>
      <c r="Q129" t="e">
        <f t="shared" si="14"/>
        <v>#N/A</v>
      </c>
      <c r="R129" t="e">
        <f t="shared" si="15"/>
        <v>#N/A</v>
      </c>
      <c r="S129" t="e">
        <f t="shared" si="16"/>
        <v>#N/A</v>
      </c>
      <c r="T129" t="e">
        <f t="shared" si="17"/>
        <v>#N/A</v>
      </c>
    </row>
    <row r="130" spans="1:20" ht="16" x14ac:dyDescent="0.2">
      <c r="A130" s="1">
        <v>129</v>
      </c>
      <c r="B130" s="1" t="s">
        <v>17</v>
      </c>
      <c r="C130" s="1" t="s">
        <v>18</v>
      </c>
      <c r="D130" s="1">
        <v>39</v>
      </c>
      <c r="E130" s="1">
        <v>17.100000000000001</v>
      </c>
      <c r="F130" s="1">
        <v>191</v>
      </c>
      <c r="G130" s="1">
        <v>3050</v>
      </c>
      <c r="H130" s="1" t="s">
        <v>20</v>
      </c>
      <c r="I130" s="1">
        <v>2009</v>
      </c>
      <c r="L130">
        <f t="shared" si="9"/>
        <v>191</v>
      </c>
      <c r="M130">
        <f t="shared" si="10"/>
        <v>3050</v>
      </c>
      <c r="N130">
        <f t="shared" si="11"/>
        <v>39</v>
      </c>
      <c r="O130" t="e">
        <f t="shared" si="12"/>
        <v>#N/A</v>
      </c>
      <c r="P130" t="e">
        <f t="shared" si="13"/>
        <v>#N/A</v>
      </c>
      <c r="Q130" t="e">
        <f t="shared" si="14"/>
        <v>#N/A</v>
      </c>
      <c r="R130" t="e">
        <f t="shared" si="15"/>
        <v>#N/A</v>
      </c>
      <c r="S130" t="e">
        <f t="shared" si="16"/>
        <v>#N/A</v>
      </c>
      <c r="T130" t="e">
        <f t="shared" si="17"/>
        <v>#N/A</v>
      </c>
    </row>
    <row r="131" spans="1:20" ht="16" x14ac:dyDescent="0.2">
      <c r="A131" s="1">
        <v>130</v>
      </c>
      <c r="B131" s="1" t="s">
        <v>17</v>
      </c>
      <c r="C131" s="1" t="s">
        <v>18</v>
      </c>
      <c r="D131" s="1">
        <v>44.1</v>
      </c>
      <c r="E131" s="1">
        <v>18</v>
      </c>
      <c r="F131" s="1">
        <v>210</v>
      </c>
      <c r="G131" s="1">
        <v>4000</v>
      </c>
      <c r="H131" s="1" t="s">
        <v>19</v>
      </c>
      <c r="I131" s="1">
        <v>2009</v>
      </c>
      <c r="L131">
        <f t="shared" ref="L131:L194" si="18">IF(TRIM($B131)="Adelie",IFERROR(VALUE($F131),NA()),NA())</f>
        <v>210</v>
      </c>
      <c r="M131">
        <f t="shared" ref="M131:M194" si="19">IF(TRIM(CLEAN(SUBSTITUTE($B131,CHAR(160),"")))="Adelie",IFERROR(VALUE($G131),NA()),NA())</f>
        <v>4000</v>
      </c>
      <c r="N131">
        <f t="shared" ref="N131:N194" si="20">IF(TRIM(CLEAN(SUBSTITUTE($B131,CHAR(160),"")))="Adelie",IF(OR($D131="NA",$D131=""),NA(),VALUE($D131)),NA())</f>
        <v>44.1</v>
      </c>
      <c r="O131" t="e">
        <f t="shared" ref="O131:O194" si="21">IF(TRIM(CLEAN(SUBSTITUTE($B131,CHAR(160),"")))="Chinstrap",IF(OR($F131="NA",$F131=""),NA(),VALUE($F131)),NA())</f>
        <v>#N/A</v>
      </c>
      <c r="P131" t="e">
        <f t="shared" ref="P131:P194" si="22">IF(TRIM(CLEAN(SUBSTITUTE($B131,CHAR(160),"")))="Chinstrap",IF(OR($G131="NA",$G131=""),NA(),VALUE($G131)),NA())</f>
        <v>#N/A</v>
      </c>
      <c r="Q131" t="e">
        <f t="shared" ref="Q131:Q194" si="23">IF(TRIM(CLEAN(SUBSTITUTE($B131,CHAR(160),"")))="Chinstrap",IF(OR($D131="NA",$D131=""),NA(),VALUE($D131)),NA())</f>
        <v>#N/A</v>
      </c>
      <c r="R131" t="e">
        <f t="shared" ref="R131:R194" si="24">IF(TRIM(CLEAN(SUBSTITUTE($B131,CHAR(160),"")))="Gentoo",IF(OR($F131="NA",$F131=""),NA(),VALUE($F131)),NA())</f>
        <v>#N/A</v>
      </c>
      <c r="S131" t="e">
        <f t="shared" ref="S131:S194" si="25">IF(TRIM(CLEAN(SUBSTITUTE($B131,CHAR(160),"")))="Gentoo",IF(OR($G131="NA",$G131=""),NA(),VALUE($G131)),NA())</f>
        <v>#N/A</v>
      </c>
      <c r="T131" t="e">
        <f t="shared" ref="T131:T194" si="26">IF(TRIM(CLEAN(SUBSTITUTE($B131,CHAR(160),"")))="Gentoo",IF(OR($D131="NA",$D131=""),NA(),VALUE($D131)),NA())</f>
        <v>#N/A</v>
      </c>
    </row>
    <row r="132" spans="1:20" ht="16" x14ac:dyDescent="0.2">
      <c r="A132" s="1">
        <v>131</v>
      </c>
      <c r="B132" s="1" t="s">
        <v>17</v>
      </c>
      <c r="C132" s="1" t="s">
        <v>18</v>
      </c>
      <c r="D132" s="1">
        <v>38.5</v>
      </c>
      <c r="E132" s="1">
        <v>17.899999999999999</v>
      </c>
      <c r="F132" s="1">
        <v>190</v>
      </c>
      <c r="G132" s="1">
        <v>3325</v>
      </c>
      <c r="H132" s="1" t="s">
        <v>20</v>
      </c>
      <c r="I132" s="1">
        <v>2009</v>
      </c>
      <c r="L132">
        <f t="shared" si="18"/>
        <v>190</v>
      </c>
      <c r="M132">
        <f t="shared" si="19"/>
        <v>3325</v>
      </c>
      <c r="N132">
        <f t="shared" si="20"/>
        <v>38.5</v>
      </c>
      <c r="O132" t="e">
        <f t="shared" si="21"/>
        <v>#N/A</v>
      </c>
      <c r="P132" t="e">
        <f t="shared" si="22"/>
        <v>#N/A</v>
      </c>
      <c r="Q132" t="e">
        <f t="shared" si="23"/>
        <v>#N/A</v>
      </c>
      <c r="R132" t="e">
        <f t="shared" si="24"/>
        <v>#N/A</v>
      </c>
      <c r="S132" t="e">
        <f t="shared" si="25"/>
        <v>#N/A</v>
      </c>
      <c r="T132" t="e">
        <f t="shared" si="26"/>
        <v>#N/A</v>
      </c>
    </row>
    <row r="133" spans="1:20" ht="16" x14ac:dyDescent="0.2">
      <c r="A133" s="1">
        <v>132</v>
      </c>
      <c r="B133" s="1" t="s">
        <v>17</v>
      </c>
      <c r="C133" s="1" t="s">
        <v>18</v>
      </c>
      <c r="D133" s="1">
        <v>43.1</v>
      </c>
      <c r="E133" s="1">
        <v>19.2</v>
      </c>
      <c r="F133" s="1">
        <v>197</v>
      </c>
      <c r="G133" s="1">
        <v>3500</v>
      </c>
      <c r="H133" s="1" t="s">
        <v>19</v>
      </c>
      <c r="I133" s="1">
        <v>2009</v>
      </c>
      <c r="L133">
        <f t="shared" si="18"/>
        <v>197</v>
      </c>
      <c r="M133">
        <f t="shared" si="19"/>
        <v>3500</v>
      </c>
      <c r="N133">
        <f t="shared" si="20"/>
        <v>43.1</v>
      </c>
      <c r="O133" t="e">
        <f t="shared" si="21"/>
        <v>#N/A</v>
      </c>
      <c r="P133" t="e">
        <f t="shared" si="22"/>
        <v>#N/A</v>
      </c>
      <c r="Q133" t="e">
        <f t="shared" si="23"/>
        <v>#N/A</v>
      </c>
      <c r="R133" t="e">
        <f t="shared" si="24"/>
        <v>#N/A</v>
      </c>
      <c r="S133" t="e">
        <f t="shared" si="25"/>
        <v>#N/A</v>
      </c>
      <c r="T133" t="e">
        <f t="shared" si="26"/>
        <v>#N/A</v>
      </c>
    </row>
    <row r="134" spans="1:20" ht="16" x14ac:dyDescent="0.2">
      <c r="A134" s="1">
        <v>133</v>
      </c>
      <c r="B134" s="1" t="s">
        <v>17</v>
      </c>
      <c r="C134" s="1" t="s">
        <v>23</v>
      </c>
      <c r="D134" s="1">
        <v>36.799999999999997</v>
      </c>
      <c r="E134" s="1">
        <v>18.5</v>
      </c>
      <c r="F134" s="1">
        <v>193</v>
      </c>
      <c r="G134" s="1">
        <v>3500</v>
      </c>
      <c r="H134" s="1" t="s">
        <v>20</v>
      </c>
      <c r="I134" s="1">
        <v>2009</v>
      </c>
      <c r="L134">
        <f t="shared" si="18"/>
        <v>193</v>
      </c>
      <c r="M134">
        <f t="shared" si="19"/>
        <v>3500</v>
      </c>
      <c r="N134">
        <f t="shared" si="20"/>
        <v>36.799999999999997</v>
      </c>
      <c r="O134" t="e">
        <f t="shared" si="21"/>
        <v>#N/A</v>
      </c>
      <c r="P134" t="e">
        <f t="shared" si="22"/>
        <v>#N/A</v>
      </c>
      <c r="Q134" t="e">
        <f t="shared" si="23"/>
        <v>#N/A</v>
      </c>
      <c r="R134" t="e">
        <f t="shared" si="24"/>
        <v>#N/A</v>
      </c>
      <c r="S134" t="e">
        <f t="shared" si="25"/>
        <v>#N/A</v>
      </c>
      <c r="T134" t="e">
        <f t="shared" si="26"/>
        <v>#N/A</v>
      </c>
    </row>
    <row r="135" spans="1:20" ht="16" x14ac:dyDescent="0.2">
      <c r="A135" s="1">
        <v>134</v>
      </c>
      <c r="B135" s="1" t="s">
        <v>17</v>
      </c>
      <c r="C135" s="1" t="s">
        <v>23</v>
      </c>
      <c r="D135" s="1">
        <v>37.5</v>
      </c>
      <c r="E135" s="1">
        <v>18.5</v>
      </c>
      <c r="F135" s="1">
        <v>199</v>
      </c>
      <c r="G135" s="1">
        <v>4475</v>
      </c>
      <c r="H135" s="1" t="s">
        <v>19</v>
      </c>
      <c r="I135" s="1">
        <v>2009</v>
      </c>
      <c r="L135">
        <f t="shared" si="18"/>
        <v>199</v>
      </c>
      <c r="M135">
        <f t="shared" si="19"/>
        <v>4475</v>
      </c>
      <c r="N135">
        <f t="shared" si="20"/>
        <v>37.5</v>
      </c>
      <c r="O135" t="e">
        <f t="shared" si="21"/>
        <v>#N/A</v>
      </c>
      <c r="P135" t="e">
        <f t="shared" si="22"/>
        <v>#N/A</v>
      </c>
      <c r="Q135" t="e">
        <f t="shared" si="23"/>
        <v>#N/A</v>
      </c>
      <c r="R135" t="e">
        <f t="shared" si="24"/>
        <v>#N/A</v>
      </c>
      <c r="S135" t="e">
        <f t="shared" si="25"/>
        <v>#N/A</v>
      </c>
      <c r="T135" t="e">
        <f t="shared" si="26"/>
        <v>#N/A</v>
      </c>
    </row>
    <row r="136" spans="1:20" ht="16" x14ac:dyDescent="0.2">
      <c r="A136" s="1">
        <v>135</v>
      </c>
      <c r="B136" s="1" t="s">
        <v>17</v>
      </c>
      <c r="C136" s="1" t="s">
        <v>23</v>
      </c>
      <c r="D136" s="1">
        <v>38.1</v>
      </c>
      <c r="E136" s="1">
        <v>17.600000000000001</v>
      </c>
      <c r="F136" s="1">
        <v>187</v>
      </c>
      <c r="G136" s="1">
        <v>3425</v>
      </c>
      <c r="H136" s="1" t="s">
        <v>20</v>
      </c>
      <c r="I136" s="1">
        <v>2009</v>
      </c>
      <c r="L136">
        <f t="shared" si="18"/>
        <v>187</v>
      </c>
      <c r="M136">
        <f t="shared" si="19"/>
        <v>3425</v>
      </c>
      <c r="N136">
        <f t="shared" si="20"/>
        <v>38.1</v>
      </c>
      <c r="O136" t="e">
        <f t="shared" si="21"/>
        <v>#N/A</v>
      </c>
      <c r="P136" t="e">
        <f t="shared" si="22"/>
        <v>#N/A</v>
      </c>
      <c r="Q136" t="e">
        <f t="shared" si="23"/>
        <v>#N/A</v>
      </c>
      <c r="R136" t="e">
        <f t="shared" si="24"/>
        <v>#N/A</v>
      </c>
      <c r="S136" t="e">
        <f t="shared" si="25"/>
        <v>#N/A</v>
      </c>
      <c r="T136" t="e">
        <f t="shared" si="26"/>
        <v>#N/A</v>
      </c>
    </row>
    <row r="137" spans="1:20" ht="16" x14ac:dyDescent="0.2">
      <c r="A137" s="1">
        <v>136</v>
      </c>
      <c r="B137" s="1" t="s">
        <v>17</v>
      </c>
      <c r="C137" s="1" t="s">
        <v>23</v>
      </c>
      <c r="D137" s="1">
        <v>41.1</v>
      </c>
      <c r="E137" s="1">
        <v>17.5</v>
      </c>
      <c r="F137" s="1">
        <v>190</v>
      </c>
      <c r="G137" s="1">
        <v>3900</v>
      </c>
      <c r="H137" s="1" t="s">
        <v>19</v>
      </c>
      <c r="I137" s="1">
        <v>2009</v>
      </c>
      <c r="L137">
        <f t="shared" si="18"/>
        <v>190</v>
      </c>
      <c r="M137">
        <f t="shared" si="19"/>
        <v>3900</v>
      </c>
      <c r="N137">
        <f t="shared" si="20"/>
        <v>41.1</v>
      </c>
      <c r="O137" t="e">
        <f t="shared" si="21"/>
        <v>#N/A</v>
      </c>
      <c r="P137" t="e">
        <f t="shared" si="22"/>
        <v>#N/A</v>
      </c>
      <c r="Q137" t="e">
        <f t="shared" si="23"/>
        <v>#N/A</v>
      </c>
      <c r="R137" t="e">
        <f t="shared" si="24"/>
        <v>#N/A</v>
      </c>
      <c r="S137" t="e">
        <f t="shared" si="25"/>
        <v>#N/A</v>
      </c>
      <c r="T137" t="e">
        <f t="shared" si="26"/>
        <v>#N/A</v>
      </c>
    </row>
    <row r="138" spans="1:20" ht="16" x14ac:dyDescent="0.2">
      <c r="A138" s="1">
        <v>137</v>
      </c>
      <c r="B138" s="1" t="s">
        <v>17</v>
      </c>
      <c r="C138" s="1" t="s">
        <v>23</v>
      </c>
      <c r="D138" s="1">
        <v>35.6</v>
      </c>
      <c r="E138" s="1">
        <v>17.5</v>
      </c>
      <c r="F138" s="1">
        <v>191</v>
      </c>
      <c r="G138" s="1">
        <v>3175</v>
      </c>
      <c r="H138" s="1" t="s">
        <v>20</v>
      </c>
      <c r="I138" s="1">
        <v>2009</v>
      </c>
      <c r="L138">
        <f t="shared" si="18"/>
        <v>191</v>
      </c>
      <c r="M138">
        <f t="shared" si="19"/>
        <v>3175</v>
      </c>
      <c r="N138">
        <f t="shared" si="20"/>
        <v>35.6</v>
      </c>
      <c r="O138" t="e">
        <f t="shared" si="21"/>
        <v>#N/A</v>
      </c>
      <c r="P138" t="e">
        <f t="shared" si="22"/>
        <v>#N/A</v>
      </c>
      <c r="Q138" t="e">
        <f t="shared" si="23"/>
        <v>#N/A</v>
      </c>
      <c r="R138" t="e">
        <f t="shared" si="24"/>
        <v>#N/A</v>
      </c>
      <c r="S138" t="e">
        <f t="shared" si="25"/>
        <v>#N/A</v>
      </c>
      <c r="T138" t="e">
        <f t="shared" si="26"/>
        <v>#N/A</v>
      </c>
    </row>
    <row r="139" spans="1:20" ht="16" x14ac:dyDescent="0.2">
      <c r="A139" s="1">
        <v>138</v>
      </c>
      <c r="B139" s="1" t="s">
        <v>17</v>
      </c>
      <c r="C139" s="1" t="s">
        <v>23</v>
      </c>
      <c r="D139" s="1">
        <v>40.200000000000003</v>
      </c>
      <c r="E139" s="1">
        <v>20.100000000000001</v>
      </c>
      <c r="F139" s="1">
        <v>200</v>
      </c>
      <c r="G139" s="1">
        <v>3975</v>
      </c>
      <c r="H139" s="1" t="s">
        <v>19</v>
      </c>
      <c r="I139" s="1">
        <v>2009</v>
      </c>
      <c r="L139">
        <f t="shared" si="18"/>
        <v>200</v>
      </c>
      <c r="M139">
        <f t="shared" si="19"/>
        <v>3975</v>
      </c>
      <c r="N139">
        <f t="shared" si="20"/>
        <v>40.200000000000003</v>
      </c>
      <c r="O139" t="e">
        <f t="shared" si="21"/>
        <v>#N/A</v>
      </c>
      <c r="P139" t="e">
        <f t="shared" si="22"/>
        <v>#N/A</v>
      </c>
      <c r="Q139" t="e">
        <f t="shared" si="23"/>
        <v>#N/A</v>
      </c>
      <c r="R139" t="e">
        <f t="shared" si="24"/>
        <v>#N/A</v>
      </c>
      <c r="S139" t="e">
        <f t="shared" si="25"/>
        <v>#N/A</v>
      </c>
      <c r="T139" t="e">
        <f t="shared" si="26"/>
        <v>#N/A</v>
      </c>
    </row>
    <row r="140" spans="1:20" ht="16" x14ac:dyDescent="0.2">
      <c r="A140" s="1">
        <v>139</v>
      </c>
      <c r="B140" s="1" t="s">
        <v>17</v>
      </c>
      <c r="C140" s="1" t="s">
        <v>23</v>
      </c>
      <c r="D140" s="1">
        <v>37</v>
      </c>
      <c r="E140" s="1">
        <v>16.5</v>
      </c>
      <c r="F140" s="1">
        <v>185</v>
      </c>
      <c r="G140" s="1">
        <v>3400</v>
      </c>
      <c r="H140" s="1" t="s">
        <v>20</v>
      </c>
      <c r="I140" s="1">
        <v>2009</v>
      </c>
      <c r="L140">
        <f t="shared" si="18"/>
        <v>185</v>
      </c>
      <c r="M140">
        <f t="shared" si="19"/>
        <v>3400</v>
      </c>
      <c r="N140">
        <f t="shared" si="20"/>
        <v>37</v>
      </c>
      <c r="O140" t="e">
        <f t="shared" si="21"/>
        <v>#N/A</v>
      </c>
      <c r="P140" t="e">
        <f t="shared" si="22"/>
        <v>#N/A</v>
      </c>
      <c r="Q140" t="e">
        <f t="shared" si="23"/>
        <v>#N/A</v>
      </c>
      <c r="R140" t="e">
        <f t="shared" si="24"/>
        <v>#N/A</v>
      </c>
      <c r="S140" t="e">
        <f t="shared" si="25"/>
        <v>#N/A</v>
      </c>
      <c r="T140" t="e">
        <f t="shared" si="26"/>
        <v>#N/A</v>
      </c>
    </row>
    <row r="141" spans="1:20" ht="16" x14ac:dyDescent="0.2">
      <c r="A141" s="1">
        <v>140</v>
      </c>
      <c r="B141" s="1" t="s">
        <v>17</v>
      </c>
      <c r="C141" s="1" t="s">
        <v>23</v>
      </c>
      <c r="D141" s="1">
        <v>39.700000000000003</v>
      </c>
      <c r="E141" s="1">
        <v>17.899999999999999</v>
      </c>
      <c r="F141" s="1">
        <v>193</v>
      </c>
      <c r="G141" s="1">
        <v>4250</v>
      </c>
      <c r="H141" s="1" t="s">
        <v>19</v>
      </c>
      <c r="I141" s="1">
        <v>2009</v>
      </c>
      <c r="L141">
        <f t="shared" si="18"/>
        <v>193</v>
      </c>
      <c r="M141">
        <f t="shared" si="19"/>
        <v>4250</v>
      </c>
      <c r="N141">
        <f t="shared" si="20"/>
        <v>39.700000000000003</v>
      </c>
      <c r="O141" t="e">
        <f t="shared" si="21"/>
        <v>#N/A</v>
      </c>
      <c r="P141" t="e">
        <f t="shared" si="22"/>
        <v>#N/A</v>
      </c>
      <c r="Q141" t="e">
        <f t="shared" si="23"/>
        <v>#N/A</v>
      </c>
      <c r="R141" t="e">
        <f t="shared" si="24"/>
        <v>#N/A</v>
      </c>
      <c r="S141" t="e">
        <f t="shared" si="25"/>
        <v>#N/A</v>
      </c>
      <c r="T141" t="e">
        <f t="shared" si="26"/>
        <v>#N/A</v>
      </c>
    </row>
    <row r="142" spans="1:20" ht="16" x14ac:dyDescent="0.2">
      <c r="A142" s="1">
        <v>141</v>
      </c>
      <c r="B142" s="1" t="s">
        <v>17</v>
      </c>
      <c r="C142" s="1" t="s">
        <v>23</v>
      </c>
      <c r="D142" s="1">
        <v>40.200000000000003</v>
      </c>
      <c r="E142" s="1">
        <v>17.100000000000001</v>
      </c>
      <c r="F142" s="1">
        <v>193</v>
      </c>
      <c r="G142" s="1">
        <v>3400</v>
      </c>
      <c r="H142" s="1" t="s">
        <v>20</v>
      </c>
      <c r="I142" s="1">
        <v>2009</v>
      </c>
      <c r="L142">
        <f t="shared" si="18"/>
        <v>193</v>
      </c>
      <c r="M142">
        <f t="shared" si="19"/>
        <v>3400</v>
      </c>
      <c r="N142">
        <f t="shared" si="20"/>
        <v>40.200000000000003</v>
      </c>
      <c r="O142" t="e">
        <f t="shared" si="21"/>
        <v>#N/A</v>
      </c>
      <c r="P142" t="e">
        <f t="shared" si="22"/>
        <v>#N/A</v>
      </c>
      <c r="Q142" t="e">
        <f t="shared" si="23"/>
        <v>#N/A</v>
      </c>
      <c r="R142" t="e">
        <f t="shared" si="24"/>
        <v>#N/A</v>
      </c>
      <c r="S142" t="e">
        <f t="shared" si="25"/>
        <v>#N/A</v>
      </c>
      <c r="T142" t="e">
        <f t="shared" si="26"/>
        <v>#N/A</v>
      </c>
    </row>
    <row r="143" spans="1:20" ht="16" x14ac:dyDescent="0.2">
      <c r="A143" s="1">
        <v>142</v>
      </c>
      <c r="B143" s="1" t="s">
        <v>17</v>
      </c>
      <c r="C143" s="1" t="s">
        <v>23</v>
      </c>
      <c r="D143" s="1">
        <v>40.6</v>
      </c>
      <c r="E143" s="1">
        <v>17.2</v>
      </c>
      <c r="F143" s="1">
        <v>187</v>
      </c>
      <c r="G143" s="1">
        <v>3475</v>
      </c>
      <c r="H143" s="1" t="s">
        <v>19</v>
      </c>
      <c r="I143" s="1">
        <v>2009</v>
      </c>
      <c r="L143">
        <f t="shared" si="18"/>
        <v>187</v>
      </c>
      <c r="M143">
        <f t="shared" si="19"/>
        <v>3475</v>
      </c>
      <c r="N143">
        <f t="shared" si="20"/>
        <v>40.6</v>
      </c>
      <c r="O143" t="e">
        <f t="shared" si="21"/>
        <v>#N/A</v>
      </c>
      <c r="P143" t="e">
        <f t="shared" si="22"/>
        <v>#N/A</v>
      </c>
      <c r="Q143" t="e">
        <f t="shared" si="23"/>
        <v>#N/A</v>
      </c>
      <c r="R143" t="e">
        <f t="shared" si="24"/>
        <v>#N/A</v>
      </c>
      <c r="S143" t="e">
        <f t="shared" si="25"/>
        <v>#N/A</v>
      </c>
      <c r="T143" t="e">
        <f t="shared" si="26"/>
        <v>#N/A</v>
      </c>
    </row>
    <row r="144" spans="1:20" ht="16" x14ac:dyDescent="0.2">
      <c r="A144" s="1">
        <v>143</v>
      </c>
      <c r="B144" s="1" t="s">
        <v>17</v>
      </c>
      <c r="C144" s="1" t="s">
        <v>23</v>
      </c>
      <c r="D144" s="1">
        <v>32.1</v>
      </c>
      <c r="E144" s="1">
        <v>15.5</v>
      </c>
      <c r="F144" s="1">
        <v>188</v>
      </c>
      <c r="G144" s="1">
        <v>3050</v>
      </c>
      <c r="H144" s="1" t="s">
        <v>20</v>
      </c>
      <c r="I144" s="1">
        <v>2009</v>
      </c>
      <c r="L144">
        <f t="shared" si="18"/>
        <v>188</v>
      </c>
      <c r="M144">
        <f t="shared" si="19"/>
        <v>3050</v>
      </c>
      <c r="N144">
        <f t="shared" si="20"/>
        <v>32.1</v>
      </c>
      <c r="O144" t="e">
        <f t="shared" si="21"/>
        <v>#N/A</v>
      </c>
      <c r="P144" t="e">
        <f t="shared" si="22"/>
        <v>#N/A</v>
      </c>
      <c r="Q144" t="e">
        <f t="shared" si="23"/>
        <v>#N/A</v>
      </c>
      <c r="R144" t="e">
        <f t="shared" si="24"/>
        <v>#N/A</v>
      </c>
      <c r="S144" t="e">
        <f t="shared" si="25"/>
        <v>#N/A</v>
      </c>
      <c r="T144" t="e">
        <f t="shared" si="26"/>
        <v>#N/A</v>
      </c>
    </row>
    <row r="145" spans="1:20" ht="16" x14ac:dyDescent="0.2">
      <c r="A145" s="1">
        <v>144</v>
      </c>
      <c r="B145" s="1" t="s">
        <v>17</v>
      </c>
      <c r="C145" s="1" t="s">
        <v>23</v>
      </c>
      <c r="D145" s="1">
        <v>40.700000000000003</v>
      </c>
      <c r="E145" s="1">
        <v>17</v>
      </c>
      <c r="F145" s="1">
        <v>190</v>
      </c>
      <c r="G145" s="1">
        <v>3725</v>
      </c>
      <c r="H145" s="1" t="s">
        <v>19</v>
      </c>
      <c r="I145" s="1">
        <v>2009</v>
      </c>
      <c r="L145">
        <f t="shared" si="18"/>
        <v>190</v>
      </c>
      <c r="M145">
        <f t="shared" si="19"/>
        <v>3725</v>
      </c>
      <c r="N145">
        <f t="shared" si="20"/>
        <v>40.700000000000003</v>
      </c>
      <c r="O145" t="e">
        <f t="shared" si="21"/>
        <v>#N/A</v>
      </c>
      <c r="P145" t="e">
        <f t="shared" si="22"/>
        <v>#N/A</v>
      </c>
      <c r="Q145" t="e">
        <f t="shared" si="23"/>
        <v>#N/A</v>
      </c>
      <c r="R145" t="e">
        <f t="shared" si="24"/>
        <v>#N/A</v>
      </c>
      <c r="S145" t="e">
        <f t="shared" si="25"/>
        <v>#N/A</v>
      </c>
      <c r="T145" t="e">
        <f t="shared" si="26"/>
        <v>#N/A</v>
      </c>
    </row>
    <row r="146" spans="1:20" ht="16" x14ac:dyDescent="0.2">
      <c r="A146" s="1">
        <v>145</v>
      </c>
      <c r="B146" s="1" t="s">
        <v>17</v>
      </c>
      <c r="C146" s="1" t="s">
        <v>23</v>
      </c>
      <c r="D146" s="1">
        <v>37.299999999999997</v>
      </c>
      <c r="E146" s="1">
        <v>16.8</v>
      </c>
      <c r="F146" s="1">
        <v>192</v>
      </c>
      <c r="G146" s="1">
        <v>3000</v>
      </c>
      <c r="H146" s="1" t="s">
        <v>20</v>
      </c>
      <c r="I146" s="1">
        <v>2009</v>
      </c>
      <c r="L146">
        <f t="shared" si="18"/>
        <v>192</v>
      </c>
      <c r="M146">
        <f t="shared" si="19"/>
        <v>3000</v>
      </c>
      <c r="N146">
        <f t="shared" si="20"/>
        <v>37.299999999999997</v>
      </c>
      <c r="O146" t="e">
        <f t="shared" si="21"/>
        <v>#N/A</v>
      </c>
      <c r="P146" t="e">
        <f t="shared" si="22"/>
        <v>#N/A</v>
      </c>
      <c r="Q146" t="e">
        <f t="shared" si="23"/>
        <v>#N/A</v>
      </c>
      <c r="R146" t="e">
        <f t="shared" si="24"/>
        <v>#N/A</v>
      </c>
      <c r="S146" t="e">
        <f t="shared" si="25"/>
        <v>#N/A</v>
      </c>
      <c r="T146" t="e">
        <f t="shared" si="26"/>
        <v>#N/A</v>
      </c>
    </row>
    <row r="147" spans="1:20" ht="16" x14ac:dyDescent="0.2">
      <c r="A147" s="1">
        <v>146</v>
      </c>
      <c r="B147" s="1" t="s">
        <v>17</v>
      </c>
      <c r="C147" s="1" t="s">
        <v>23</v>
      </c>
      <c r="D147" s="1">
        <v>39</v>
      </c>
      <c r="E147" s="1">
        <v>18.7</v>
      </c>
      <c r="F147" s="1">
        <v>185</v>
      </c>
      <c r="G147" s="1">
        <v>3650</v>
      </c>
      <c r="H147" s="1" t="s">
        <v>19</v>
      </c>
      <c r="I147" s="1">
        <v>2009</v>
      </c>
      <c r="L147">
        <f t="shared" si="18"/>
        <v>185</v>
      </c>
      <c r="M147">
        <f t="shared" si="19"/>
        <v>3650</v>
      </c>
      <c r="N147">
        <f t="shared" si="20"/>
        <v>39</v>
      </c>
      <c r="O147" t="e">
        <f t="shared" si="21"/>
        <v>#N/A</v>
      </c>
      <c r="P147" t="e">
        <f t="shared" si="22"/>
        <v>#N/A</v>
      </c>
      <c r="Q147" t="e">
        <f t="shared" si="23"/>
        <v>#N/A</v>
      </c>
      <c r="R147" t="e">
        <f t="shared" si="24"/>
        <v>#N/A</v>
      </c>
      <c r="S147" t="e">
        <f t="shared" si="25"/>
        <v>#N/A</v>
      </c>
      <c r="T147" t="e">
        <f t="shared" si="26"/>
        <v>#N/A</v>
      </c>
    </row>
    <row r="148" spans="1:20" ht="16" x14ac:dyDescent="0.2">
      <c r="A148" s="1">
        <v>147</v>
      </c>
      <c r="B148" s="1" t="s">
        <v>17</v>
      </c>
      <c r="C148" s="1" t="s">
        <v>23</v>
      </c>
      <c r="D148" s="1">
        <v>39.200000000000003</v>
      </c>
      <c r="E148" s="1">
        <v>18.600000000000001</v>
      </c>
      <c r="F148" s="1">
        <v>190</v>
      </c>
      <c r="G148" s="1">
        <v>4250</v>
      </c>
      <c r="H148" s="1" t="s">
        <v>19</v>
      </c>
      <c r="I148" s="1">
        <v>2009</v>
      </c>
      <c r="L148">
        <f t="shared" si="18"/>
        <v>190</v>
      </c>
      <c r="M148">
        <f t="shared" si="19"/>
        <v>4250</v>
      </c>
      <c r="N148">
        <f t="shared" si="20"/>
        <v>39.200000000000003</v>
      </c>
      <c r="O148" t="e">
        <f t="shared" si="21"/>
        <v>#N/A</v>
      </c>
      <c r="P148" t="e">
        <f t="shared" si="22"/>
        <v>#N/A</v>
      </c>
      <c r="Q148" t="e">
        <f t="shared" si="23"/>
        <v>#N/A</v>
      </c>
      <c r="R148" t="e">
        <f t="shared" si="24"/>
        <v>#N/A</v>
      </c>
      <c r="S148" t="e">
        <f t="shared" si="25"/>
        <v>#N/A</v>
      </c>
      <c r="T148" t="e">
        <f t="shared" si="26"/>
        <v>#N/A</v>
      </c>
    </row>
    <row r="149" spans="1:20" ht="16" x14ac:dyDescent="0.2">
      <c r="A149" s="1">
        <v>148</v>
      </c>
      <c r="B149" s="1" t="s">
        <v>17</v>
      </c>
      <c r="C149" s="1" t="s">
        <v>23</v>
      </c>
      <c r="D149" s="1">
        <v>36.6</v>
      </c>
      <c r="E149" s="1">
        <v>18.399999999999999</v>
      </c>
      <c r="F149" s="1">
        <v>184</v>
      </c>
      <c r="G149" s="1">
        <v>3475</v>
      </c>
      <c r="H149" s="1" t="s">
        <v>20</v>
      </c>
      <c r="I149" s="1">
        <v>2009</v>
      </c>
      <c r="L149">
        <f t="shared" si="18"/>
        <v>184</v>
      </c>
      <c r="M149">
        <f t="shared" si="19"/>
        <v>3475</v>
      </c>
      <c r="N149">
        <f t="shared" si="20"/>
        <v>36.6</v>
      </c>
      <c r="O149" t="e">
        <f t="shared" si="21"/>
        <v>#N/A</v>
      </c>
      <c r="P149" t="e">
        <f t="shared" si="22"/>
        <v>#N/A</v>
      </c>
      <c r="Q149" t="e">
        <f t="shared" si="23"/>
        <v>#N/A</v>
      </c>
      <c r="R149" t="e">
        <f t="shared" si="24"/>
        <v>#N/A</v>
      </c>
      <c r="S149" t="e">
        <f t="shared" si="25"/>
        <v>#N/A</v>
      </c>
      <c r="T149" t="e">
        <f t="shared" si="26"/>
        <v>#N/A</v>
      </c>
    </row>
    <row r="150" spans="1:20" ht="16" x14ac:dyDescent="0.2">
      <c r="A150" s="1">
        <v>149</v>
      </c>
      <c r="B150" s="1" t="s">
        <v>17</v>
      </c>
      <c r="C150" s="1" t="s">
        <v>23</v>
      </c>
      <c r="D150" s="1">
        <v>36</v>
      </c>
      <c r="E150" s="1">
        <v>17.8</v>
      </c>
      <c r="F150" s="1">
        <v>195</v>
      </c>
      <c r="G150" s="1">
        <v>3450</v>
      </c>
      <c r="H150" s="1" t="s">
        <v>20</v>
      </c>
      <c r="I150" s="1">
        <v>2009</v>
      </c>
      <c r="L150">
        <f t="shared" si="18"/>
        <v>195</v>
      </c>
      <c r="M150">
        <f t="shared" si="19"/>
        <v>3450</v>
      </c>
      <c r="N150">
        <f t="shared" si="20"/>
        <v>36</v>
      </c>
      <c r="O150" t="e">
        <f t="shared" si="21"/>
        <v>#N/A</v>
      </c>
      <c r="P150" t="e">
        <f t="shared" si="22"/>
        <v>#N/A</v>
      </c>
      <c r="Q150" t="e">
        <f t="shared" si="23"/>
        <v>#N/A</v>
      </c>
      <c r="R150" t="e">
        <f t="shared" si="24"/>
        <v>#N/A</v>
      </c>
      <c r="S150" t="e">
        <f t="shared" si="25"/>
        <v>#N/A</v>
      </c>
      <c r="T150" t="e">
        <f t="shared" si="26"/>
        <v>#N/A</v>
      </c>
    </row>
    <row r="151" spans="1:20" ht="16" x14ac:dyDescent="0.2">
      <c r="A151" s="1">
        <v>150</v>
      </c>
      <c r="B151" s="1" t="s">
        <v>17</v>
      </c>
      <c r="C151" s="1" t="s">
        <v>23</v>
      </c>
      <c r="D151" s="1">
        <v>37.799999999999997</v>
      </c>
      <c r="E151" s="1">
        <v>18.100000000000001</v>
      </c>
      <c r="F151" s="1">
        <v>193</v>
      </c>
      <c r="G151" s="1">
        <v>3750</v>
      </c>
      <c r="H151" s="1" t="s">
        <v>19</v>
      </c>
      <c r="I151" s="1">
        <v>2009</v>
      </c>
      <c r="L151">
        <f t="shared" si="18"/>
        <v>193</v>
      </c>
      <c r="M151">
        <f t="shared" si="19"/>
        <v>3750</v>
      </c>
      <c r="N151">
        <f t="shared" si="20"/>
        <v>37.799999999999997</v>
      </c>
      <c r="O151" t="e">
        <f t="shared" si="21"/>
        <v>#N/A</v>
      </c>
      <c r="P151" t="e">
        <f t="shared" si="22"/>
        <v>#N/A</v>
      </c>
      <c r="Q151" t="e">
        <f t="shared" si="23"/>
        <v>#N/A</v>
      </c>
      <c r="R151" t="e">
        <f t="shared" si="24"/>
        <v>#N/A</v>
      </c>
      <c r="S151" t="e">
        <f t="shared" si="25"/>
        <v>#N/A</v>
      </c>
      <c r="T151" t="e">
        <f t="shared" si="26"/>
        <v>#N/A</v>
      </c>
    </row>
    <row r="152" spans="1:20" ht="16" x14ac:dyDescent="0.2">
      <c r="A152" s="1">
        <v>151</v>
      </c>
      <c r="B152" s="1" t="s">
        <v>17</v>
      </c>
      <c r="C152" s="1" t="s">
        <v>23</v>
      </c>
      <c r="D152" s="1">
        <v>36</v>
      </c>
      <c r="E152" s="1">
        <v>17.100000000000001</v>
      </c>
      <c r="F152" s="1">
        <v>187</v>
      </c>
      <c r="G152" s="1">
        <v>3700</v>
      </c>
      <c r="H152" s="1" t="s">
        <v>20</v>
      </c>
      <c r="I152" s="1">
        <v>2009</v>
      </c>
      <c r="L152">
        <f t="shared" si="18"/>
        <v>187</v>
      </c>
      <c r="M152">
        <f t="shared" si="19"/>
        <v>3700</v>
      </c>
      <c r="N152">
        <f t="shared" si="20"/>
        <v>36</v>
      </c>
      <c r="O152" t="e">
        <f t="shared" si="21"/>
        <v>#N/A</v>
      </c>
      <c r="P152" t="e">
        <f t="shared" si="22"/>
        <v>#N/A</v>
      </c>
      <c r="Q152" t="e">
        <f t="shared" si="23"/>
        <v>#N/A</v>
      </c>
      <c r="R152" t="e">
        <f t="shared" si="24"/>
        <v>#N/A</v>
      </c>
      <c r="S152" t="e">
        <f t="shared" si="25"/>
        <v>#N/A</v>
      </c>
      <c r="T152" t="e">
        <f t="shared" si="26"/>
        <v>#N/A</v>
      </c>
    </row>
    <row r="153" spans="1:20" ht="16" x14ac:dyDescent="0.2">
      <c r="A153" s="1">
        <v>152</v>
      </c>
      <c r="B153" s="1" t="s">
        <v>17</v>
      </c>
      <c r="C153" s="1" t="s">
        <v>23</v>
      </c>
      <c r="D153" s="1">
        <v>41.5</v>
      </c>
      <c r="E153" s="1">
        <v>18.5</v>
      </c>
      <c r="F153" s="1">
        <v>201</v>
      </c>
      <c r="G153" s="1">
        <v>4000</v>
      </c>
      <c r="H153" s="1" t="s">
        <v>19</v>
      </c>
      <c r="I153" s="1">
        <v>2009</v>
      </c>
      <c r="L153">
        <f t="shared" si="18"/>
        <v>201</v>
      </c>
      <c r="M153">
        <f t="shared" si="19"/>
        <v>4000</v>
      </c>
      <c r="N153">
        <f t="shared" si="20"/>
        <v>41.5</v>
      </c>
      <c r="O153" t="e">
        <f t="shared" si="21"/>
        <v>#N/A</v>
      </c>
      <c r="P153" t="e">
        <f t="shared" si="22"/>
        <v>#N/A</v>
      </c>
      <c r="Q153" t="e">
        <f t="shared" si="23"/>
        <v>#N/A</v>
      </c>
      <c r="R153" t="e">
        <f t="shared" si="24"/>
        <v>#N/A</v>
      </c>
      <c r="S153" t="e">
        <f t="shared" si="25"/>
        <v>#N/A</v>
      </c>
      <c r="T153" t="e">
        <f t="shared" si="26"/>
        <v>#N/A</v>
      </c>
    </row>
    <row r="154" spans="1:20" ht="16" x14ac:dyDescent="0.2">
      <c r="A154" s="1">
        <v>153</v>
      </c>
      <c r="B154" s="1" t="s">
        <v>24</v>
      </c>
      <c r="C154" s="1" t="s">
        <v>22</v>
      </c>
      <c r="D154" s="1">
        <v>46.1</v>
      </c>
      <c r="E154" s="1">
        <v>13.2</v>
      </c>
      <c r="F154" s="1">
        <v>211</v>
      </c>
      <c r="G154" s="1">
        <v>4500</v>
      </c>
      <c r="H154" s="1" t="s">
        <v>20</v>
      </c>
      <c r="I154" s="1">
        <v>2007</v>
      </c>
      <c r="L154" t="e">
        <f t="shared" si="18"/>
        <v>#N/A</v>
      </c>
      <c r="M154" t="e">
        <f t="shared" si="19"/>
        <v>#N/A</v>
      </c>
      <c r="N154" t="e">
        <f t="shared" si="20"/>
        <v>#N/A</v>
      </c>
      <c r="O154" t="e">
        <f t="shared" si="21"/>
        <v>#N/A</v>
      </c>
      <c r="P154" t="e">
        <f t="shared" si="22"/>
        <v>#N/A</v>
      </c>
      <c r="Q154" t="e">
        <f t="shared" si="23"/>
        <v>#N/A</v>
      </c>
      <c r="R154">
        <f t="shared" si="24"/>
        <v>211</v>
      </c>
      <c r="S154">
        <f t="shared" si="25"/>
        <v>4500</v>
      </c>
      <c r="T154">
        <f t="shared" si="26"/>
        <v>46.1</v>
      </c>
    </row>
    <row r="155" spans="1:20" ht="16" x14ac:dyDescent="0.2">
      <c r="A155" s="1">
        <v>154</v>
      </c>
      <c r="B155" s="1" t="s">
        <v>24</v>
      </c>
      <c r="C155" s="1" t="s">
        <v>22</v>
      </c>
      <c r="D155" s="1">
        <v>50</v>
      </c>
      <c r="E155" s="1">
        <v>16.3</v>
      </c>
      <c r="F155" s="1">
        <v>230</v>
      </c>
      <c r="G155" s="1">
        <v>5700</v>
      </c>
      <c r="H155" s="1" t="s">
        <v>19</v>
      </c>
      <c r="I155" s="1">
        <v>2007</v>
      </c>
      <c r="L155" t="e">
        <f t="shared" si="18"/>
        <v>#N/A</v>
      </c>
      <c r="M155" t="e">
        <f t="shared" si="19"/>
        <v>#N/A</v>
      </c>
      <c r="N155" t="e">
        <f t="shared" si="20"/>
        <v>#N/A</v>
      </c>
      <c r="O155" t="e">
        <f t="shared" si="21"/>
        <v>#N/A</v>
      </c>
      <c r="P155" t="e">
        <f t="shared" si="22"/>
        <v>#N/A</v>
      </c>
      <c r="Q155" t="e">
        <f t="shared" si="23"/>
        <v>#N/A</v>
      </c>
      <c r="R155">
        <f t="shared" si="24"/>
        <v>230</v>
      </c>
      <c r="S155">
        <f t="shared" si="25"/>
        <v>5700</v>
      </c>
      <c r="T155">
        <f t="shared" si="26"/>
        <v>50</v>
      </c>
    </row>
    <row r="156" spans="1:20" ht="16" x14ac:dyDescent="0.2">
      <c r="A156" s="1">
        <v>155</v>
      </c>
      <c r="B156" s="1" t="s">
        <v>24</v>
      </c>
      <c r="C156" s="1" t="s">
        <v>22</v>
      </c>
      <c r="D156" s="1">
        <v>48.7</v>
      </c>
      <c r="E156" s="1">
        <v>14.1</v>
      </c>
      <c r="F156" s="1">
        <v>210</v>
      </c>
      <c r="G156" s="1">
        <v>4450</v>
      </c>
      <c r="H156" s="1" t="s">
        <v>20</v>
      </c>
      <c r="I156" s="1">
        <v>2007</v>
      </c>
      <c r="L156" t="e">
        <f t="shared" si="18"/>
        <v>#N/A</v>
      </c>
      <c r="M156" t="e">
        <f t="shared" si="19"/>
        <v>#N/A</v>
      </c>
      <c r="N156" t="e">
        <f t="shared" si="20"/>
        <v>#N/A</v>
      </c>
      <c r="O156" t="e">
        <f t="shared" si="21"/>
        <v>#N/A</v>
      </c>
      <c r="P156" t="e">
        <f t="shared" si="22"/>
        <v>#N/A</v>
      </c>
      <c r="Q156" t="e">
        <f t="shared" si="23"/>
        <v>#N/A</v>
      </c>
      <c r="R156">
        <f t="shared" si="24"/>
        <v>210</v>
      </c>
      <c r="S156">
        <f t="shared" si="25"/>
        <v>4450</v>
      </c>
      <c r="T156">
        <f t="shared" si="26"/>
        <v>48.7</v>
      </c>
    </row>
    <row r="157" spans="1:20" ht="16" x14ac:dyDescent="0.2">
      <c r="A157" s="1">
        <v>156</v>
      </c>
      <c r="B157" s="1" t="s">
        <v>24</v>
      </c>
      <c r="C157" s="1" t="s">
        <v>22</v>
      </c>
      <c r="D157" s="1">
        <v>50</v>
      </c>
      <c r="E157" s="1">
        <v>15.2</v>
      </c>
      <c r="F157" s="1">
        <v>218</v>
      </c>
      <c r="G157" s="1">
        <v>5700</v>
      </c>
      <c r="H157" s="1" t="s">
        <v>19</v>
      </c>
      <c r="I157" s="1">
        <v>2007</v>
      </c>
      <c r="L157" t="e">
        <f t="shared" si="18"/>
        <v>#N/A</v>
      </c>
      <c r="M157" t="e">
        <f t="shared" si="19"/>
        <v>#N/A</v>
      </c>
      <c r="N157" t="e">
        <f t="shared" si="20"/>
        <v>#N/A</v>
      </c>
      <c r="O157" t="e">
        <f t="shared" si="21"/>
        <v>#N/A</v>
      </c>
      <c r="P157" t="e">
        <f t="shared" si="22"/>
        <v>#N/A</v>
      </c>
      <c r="Q157" t="e">
        <f t="shared" si="23"/>
        <v>#N/A</v>
      </c>
      <c r="R157">
        <f t="shared" si="24"/>
        <v>218</v>
      </c>
      <c r="S157">
        <f t="shared" si="25"/>
        <v>5700</v>
      </c>
      <c r="T157">
        <f t="shared" si="26"/>
        <v>50</v>
      </c>
    </row>
    <row r="158" spans="1:20" ht="16" x14ac:dyDescent="0.2">
      <c r="A158" s="1">
        <v>157</v>
      </c>
      <c r="B158" s="1" t="s">
        <v>24</v>
      </c>
      <c r="C158" s="1" t="s">
        <v>22</v>
      </c>
      <c r="D158" s="1">
        <v>47.6</v>
      </c>
      <c r="E158" s="1">
        <v>14.5</v>
      </c>
      <c r="F158" s="1">
        <v>215</v>
      </c>
      <c r="G158" s="1">
        <v>5400</v>
      </c>
      <c r="H158" s="1" t="s">
        <v>19</v>
      </c>
      <c r="I158" s="1">
        <v>2007</v>
      </c>
      <c r="L158" t="e">
        <f t="shared" si="18"/>
        <v>#N/A</v>
      </c>
      <c r="M158" t="e">
        <f t="shared" si="19"/>
        <v>#N/A</v>
      </c>
      <c r="N158" t="e">
        <f t="shared" si="20"/>
        <v>#N/A</v>
      </c>
      <c r="O158" t="e">
        <f t="shared" si="21"/>
        <v>#N/A</v>
      </c>
      <c r="P158" t="e">
        <f t="shared" si="22"/>
        <v>#N/A</v>
      </c>
      <c r="Q158" t="e">
        <f t="shared" si="23"/>
        <v>#N/A</v>
      </c>
      <c r="R158">
        <f t="shared" si="24"/>
        <v>215</v>
      </c>
      <c r="S158">
        <f t="shared" si="25"/>
        <v>5400</v>
      </c>
      <c r="T158">
        <f t="shared" si="26"/>
        <v>47.6</v>
      </c>
    </row>
    <row r="159" spans="1:20" ht="16" x14ac:dyDescent="0.2">
      <c r="A159" s="1">
        <v>158</v>
      </c>
      <c r="B159" s="1" t="s">
        <v>24</v>
      </c>
      <c r="C159" s="1" t="s">
        <v>22</v>
      </c>
      <c r="D159" s="1">
        <v>46.5</v>
      </c>
      <c r="E159" s="1">
        <v>13.5</v>
      </c>
      <c r="F159" s="1">
        <v>210</v>
      </c>
      <c r="G159" s="1">
        <v>4550</v>
      </c>
      <c r="H159" s="1" t="s">
        <v>20</v>
      </c>
      <c r="I159" s="1">
        <v>2007</v>
      </c>
      <c r="L159" t="e">
        <f t="shared" si="18"/>
        <v>#N/A</v>
      </c>
      <c r="M159" t="e">
        <f t="shared" si="19"/>
        <v>#N/A</v>
      </c>
      <c r="N159" t="e">
        <f t="shared" si="20"/>
        <v>#N/A</v>
      </c>
      <c r="O159" t="e">
        <f t="shared" si="21"/>
        <v>#N/A</v>
      </c>
      <c r="P159" t="e">
        <f t="shared" si="22"/>
        <v>#N/A</v>
      </c>
      <c r="Q159" t="e">
        <f t="shared" si="23"/>
        <v>#N/A</v>
      </c>
      <c r="R159">
        <f t="shared" si="24"/>
        <v>210</v>
      </c>
      <c r="S159">
        <f t="shared" si="25"/>
        <v>4550</v>
      </c>
      <c r="T159">
        <f t="shared" si="26"/>
        <v>46.5</v>
      </c>
    </row>
    <row r="160" spans="1:20" ht="16" x14ac:dyDescent="0.2">
      <c r="A160" s="1">
        <v>159</v>
      </c>
      <c r="B160" s="1" t="s">
        <v>24</v>
      </c>
      <c r="C160" s="1" t="s">
        <v>22</v>
      </c>
      <c r="D160" s="1">
        <v>45.4</v>
      </c>
      <c r="E160" s="1">
        <v>14.6</v>
      </c>
      <c r="F160" s="1">
        <v>211</v>
      </c>
      <c r="G160" s="1">
        <v>4800</v>
      </c>
      <c r="H160" s="1" t="s">
        <v>20</v>
      </c>
      <c r="I160" s="1">
        <v>2007</v>
      </c>
      <c r="L160" t="e">
        <f t="shared" si="18"/>
        <v>#N/A</v>
      </c>
      <c r="M160" t="e">
        <f t="shared" si="19"/>
        <v>#N/A</v>
      </c>
      <c r="N160" t="e">
        <f t="shared" si="20"/>
        <v>#N/A</v>
      </c>
      <c r="O160" t="e">
        <f t="shared" si="21"/>
        <v>#N/A</v>
      </c>
      <c r="P160" t="e">
        <f t="shared" si="22"/>
        <v>#N/A</v>
      </c>
      <c r="Q160" t="e">
        <f t="shared" si="23"/>
        <v>#N/A</v>
      </c>
      <c r="R160">
        <f t="shared" si="24"/>
        <v>211</v>
      </c>
      <c r="S160">
        <f t="shared" si="25"/>
        <v>4800</v>
      </c>
      <c r="T160">
        <f t="shared" si="26"/>
        <v>45.4</v>
      </c>
    </row>
    <row r="161" spans="1:20" ht="16" x14ac:dyDescent="0.2">
      <c r="A161" s="1">
        <v>160</v>
      </c>
      <c r="B161" s="1" t="s">
        <v>24</v>
      </c>
      <c r="C161" s="1" t="s">
        <v>22</v>
      </c>
      <c r="D161" s="1">
        <v>46.7</v>
      </c>
      <c r="E161" s="1">
        <v>15.3</v>
      </c>
      <c r="F161" s="1">
        <v>219</v>
      </c>
      <c r="G161" s="1">
        <v>5200</v>
      </c>
      <c r="H161" s="1" t="s">
        <v>19</v>
      </c>
      <c r="I161" s="1">
        <v>2007</v>
      </c>
      <c r="L161" t="e">
        <f t="shared" si="18"/>
        <v>#N/A</v>
      </c>
      <c r="M161" t="e">
        <f t="shared" si="19"/>
        <v>#N/A</v>
      </c>
      <c r="N161" t="e">
        <f t="shared" si="20"/>
        <v>#N/A</v>
      </c>
      <c r="O161" t="e">
        <f t="shared" si="21"/>
        <v>#N/A</v>
      </c>
      <c r="P161" t="e">
        <f t="shared" si="22"/>
        <v>#N/A</v>
      </c>
      <c r="Q161" t="e">
        <f t="shared" si="23"/>
        <v>#N/A</v>
      </c>
      <c r="R161">
        <f t="shared" si="24"/>
        <v>219</v>
      </c>
      <c r="S161">
        <f t="shared" si="25"/>
        <v>5200</v>
      </c>
      <c r="T161">
        <f t="shared" si="26"/>
        <v>46.7</v>
      </c>
    </row>
    <row r="162" spans="1:20" ht="16" x14ac:dyDescent="0.2">
      <c r="A162" s="1">
        <v>161</v>
      </c>
      <c r="B162" s="1" t="s">
        <v>24</v>
      </c>
      <c r="C162" s="1" t="s">
        <v>22</v>
      </c>
      <c r="D162" s="1">
        <v>43.3</v>
      </c>
      <c r="E162" s="1">
        <v>13.4</v>
      </c>
      <c r="F162" s="1">
        <v>209</v>
      </c>
      <c r="G162" s="1">
        <v>4400</v>
      </c>
      <c r="H162" s="1" t="s">
        <v>20</v>
      </c>
      <c r="I162" s="1">
        <v>2007</v>
      </c>
      <c r="L162" t="e">
        <f t="shared" si="18"/>
        <v>#N/A</v>
      </c>
      <c r="M162" t="e">
        <f t="shared" si="19"/>
        <v>#N/A</v>
      </c>
      <c r="N162" t="e">
        <f t="shared" si="20"/>
        <v>#N/A</v>
      </c>
      <c r="O162" t="e">
        <f t="shared" si="21"/>
        <v>#N/A</v>
      </c>
      <c r="P162" t="e">
        <f t="shared" si="22"/>
        <v>#N/A</v>
      </c>
      <c r="Q162" t="e">
        <f t="shared" si="23"/>
        <v>#N/A</v>
      </c>
      <c r="R162">
        <f t="shared" si="24"/>
        <v>209</v>
      </c>
      <c r="S162">
        <f t="shared" si="25"/>
        <v>4400</v>
      </c>
      <c r="T162">
        <f t="shared" si="26"/>
        <v>43.3</v>
      </c>
    </row>
    <row r="163" spans="1:20" ht="16" x14ac:dyDescent="0.2">
      <c r="A163" s="1">
        <v>162</v>
      </c>
      <c r="B163" s="1" t="s">
        <v>24</v>
      </c>
      <c r="C163" s="1" t="s">
        <v>22</v>
      </c>
      <c r="D163" s="1">
        <v>46.8</v>
      </c>
      <c r="E163" s="1">
        <v>15.4</v>
      </c>
      <c r="F163" s="1">
        <v>215</v>
      </c>
      <c r="G163" s="1">
        <v>5150</v>
      </c>
      <c r="H163" s="1" t="s">
        <v>19</v>
      </c>
      <c r="I163" s="1">
        <v>2007</v>
      </c>
      <c r="L163" t="e">
        <f t="shared" si="18"/>
        <v>#N/A</v>
      </c>
      <c r="M163" t="e">
        <f t="shared" si="19"/>
        <v>#N/A</v>
      </c>
      <c r="N163" t="e">
        <f t="shared" si="20"/>
        <v>#N/A</v>
      </c>
      <c r="O163" t="e">
        <f t="shared" si="21"/>
        <v>#N/A</v>
      </c>
      <c r="P163" t="e">
        <f t="shared" si="22"/>
        <v>#N/A</v>
      </c>
      <c r="Q163" t="e">
        <f t="shared" si="23"/>
        <v>#N/A</v>
      </c>
      <c r="R163">
        <f t="shared" si="24"/>
        <v>215</v>
      </c>
      <c r="S163">
        <f t="shared" si="25"/>
        <v>5150</v>
      </c>
      <c r="T163">
        <f t="shared" si="26"/>
        <v>46.8</v>
      </c>
    </row>
    <row r="164" spans="1:20" ht="16" x14ac:dyDescent="0.2">
      <c r="A164" s="1">
        <v>163</v>
      </c>
      <c r="B164" s="1" t="s">
        <v>24</v>
      </c>
      <c r="C164" s="1" t="s">
        <v>22</v>
      </c>
      <c r="D164" s="1">
        <v>40.9</v>
      </c>
      <c r="E164" s="1">
        <v>13.7</v>
      </c>
      <c r="F164" s="1">
        <v>214</v>
      </c>
      <c r="G164" s="1">
        <v>4650</v>
      </c>
      <c r="H164" s="1" t="s">
        <v>20</v>
      </c>
      <c r="I164" s="1">
        <v>2007</v>
      </c>
      <c r="L164" t="e">
        <f t="shared" si="18"/>
        <v>#N/A</v>
      </c>
      <c r="M164" t="e">
        <f t="shared" si="19"/>
        <v>#N/A</v>
      </c>
      <c r="N164" t="e">
        <f t="shared" si="20"/>
        <v>#N/A</v>
      </c>
      <c r="O164" t="e">
        <f t="shared" si="21"/>
        <v>#N/A</v>
      </c>
      <c r="P164" t="e">
        <f t="shared" si="22"/>
        <v>#N/A</v>
      </c>
      <c r="Q164" t="e">
        <f t="shared" si="23"/>
        <v>#N/A</v>
      </c>
      <c r="R164">
        <f t="shared" si="24"/>
        <v>214</v>
      </c>
      <c r="S164">
        <f t="shared" si="25"/>
        <v>4650</v>
      </c>
      <c r="T164">
        <f t="shared" si="26"/>
        <v>40.9</v>
      </c>
    </row>
    <row r="165" spans="1:20" ht="16" x14ac:dyDescent="0.2">
      <c r="A165" s="1">
        <v>164</v>
      </c>
      <c r="B165" s="1" t="s">
        <v>24</v>
      </c>
      <c r="C165" s="1" t="s">
        <v>22</v>
      </c>
      <c r="D165" s="1">
        <v>49</v>
      </c>
      <c r="E165" s="1">
        <v>16.100000000000001</v>
      </c>
      <c r="F165" s="1">
        <v>216</v>
      </c>
      <c r="G165" s="1">
        <v>5550</v>
      </c>
      <c r="H165" s="1" t="s">
        <v>19</v>
      </c>
      <c r="I165" s="1">
        <v>2007</v>
      </c>
      <c r="L165" t="e">
        <f t="shared" si="18"/>
        <v>#N/A</v>
      </c>
      <c r="M165" t="e">
        <f t="shared" si="19"/>
        <v>#N/A</v>
      </c>
      <c r="N165" t="e">
        <f t="shared" si="20"/>
        <v>#N/A</v>
      </c>
      <c r="O165" t="e">
        <f t="shared" si="21"/>
        <v>#N/A</v>
      </c>
      <c r="P165" t="e">
        <f t="shared" si="22"/>
        <v>#N/A</v>
      </c>
      <c r="Q165" t="e">
        <f t="shared" si="23"/>
        <v>#N/A</v>
      </c>
      <c r="R165">
        <f t="shared" si="24"/>
        <v>216</v>
      </c>
      <c r="S165">
        <f t="shared" si="25"/>
        <v>5550</v>
      </c>
      <c r="T165">
        <f t="shared" si="26"/>
        <v>49</v>
      </c>
    </row>
    <row r="166" spans="1:20" ht="16" x14ac:dyDescent="0.2">
      <c r="A166" s="1">
        <v>165</v>
      </c>
      <c r="B166" s="1" t="s">
        <v>24</v>
      </c>
      <c r="C166" s="1" t="s">
        <v>22</v>
      </c>
      <c r="D166" s="1">
        <v>45.5</v>
      </c>
      <c r="E166" s="1">
        <v>13.7</v>
      </c>
      <c r="F166" s="1">
        <v>214</v>
      </c>
      <c r="G166" s="1">
        <v>4650</v>
      </c>
      <c r="H166" s="1" t="s">
        <v>20</v>
      </c>
      <c r="I166" s="1">
        <v>2007</v>
      </c>
      <c r="L166" t="e">
        <f t="shared" si="18"/>
        <v>#N/A</v>
      </c>
      <c r="M166" t="e">
        <f t="shared" si="19"/>
        <v>#N/A</v>
      </c>
      <c r="N166" t="e">
        <f t="shared" si="20"/>
        <v>#N/A</v>
      </c>
      <c r="O166" t="e">
        <f t="shared" si="21"/>
        <v>#N/A</v>
      </c>
      <c r="P166" t="e">
        <f t="shared" si="22"/>
        <v>#N/A</v>
      </c>
      <c r="Q166" t="e">
        <f t="shared" si="23"/>
        <v>#N/A</v>
      </c>
      <c r="R166">
        <f t="shared" si="24"/>
        <v>214</v>
      </c>
      <c r="S166">
        <f t="shared" si="25"/>
        <v>4650</v>
      </c>
      <c r="T166">
        <f t="shared" si="26"/>
        <v>45.5</v>
      </c>
    </row>
    <row r="167" spans="1:20" ht="16" x14ac:dyDescent="0.2">
      <c r="A167" s="1">
        <v>166</v>
      </c>
      <c r="B167" s="1" t="s">
        <v>24</v>
      </c>
      <c r="C167" s="1" t="s">
        <v>22</v>
      </c>
      <c r="D167" s="1">
        <v>48.4</v>
      </c>
      <c r="E167" s="1">
        <v>14.6</v>
      </c>
      <c r="F167" s="1">
        <v>213</v>
      </c>
      <c r="G167" s="1">
        <v>5850</v>
      </c>
      <c r="H167" s="1" t="s">
        <v>19</v>
      </c>
      <c r="I167" s="1">
        <v>2007</v>
      </c>
      <c r="L167" t="e">
        <f t="shared" si="18"/>
        <v>#N/A</v>
      </c>
      <c r="M167" t="e">
        <f t="shared" si="19"/>
        <v>#N/A</v>
      </c>
      <c r="N167" t="e">
        <f t="shared" si="20"/>
        <v>#N/A</v>
      </c>
      <c r="O167" t="e">
        <f t="shared" si="21"/>
        <v>#N/A</v>
      </c>
      <c r="P167" t="e">
        <f t="shared" si="22"/>
        <v>#N/A</v>
      </c>
      <c r="Q167" t="e">
        <f t="shared" si="23"/>
        <v>#N/A</v>
      </c>
      <c r="R167">
        <f t="shared" si="24"/>
        <v>213</v>
      </c>
      <c r="S167">
        <f t="shared" si="25"/>
        <v>5850</v>
      </c>
      <c r="T167">
        <f t="shared" si="26"/>
        <v>48.4</v>
      </c>
    </row>
    <row r="168" spans="1:20" ht="16" x14ac:dyDescent="0.2">
      <c r="A168" s="1">
        <v>167</v>
      </c>
      <c r="B168" s="1" t="s">
        <v>24</v>
      </c>
      <c r="C168" s="1" t="s">
        <v>22</v>
      </c>
      <c r="D168" s="1">
        <v>45.8</v>
      </c>
      <c r="E168" s="1">
        <v>14.6</v>
      </c>
      <c r="F168" s="1">
        <v>210</v>
      </c>
      <c r="G168" s="1">
        <v>4200</v>
      </c>
      <c r="H168" s="1" t="s">
        <v>20</v>
      </c>
      <c r="I168" s="1">
        <v>2007</v>
      </c>
      <c r="L168" t="e">
        <f t="shared" si="18"/>
        <v>#N/A</v>
      </c>
      <c r="M168" t="e">
        <f t="shared" si="19"/>
        <v>#N/A</v>
      </c>
      <c r="N168" t="e">
        <f t="shared" si="20"/>
        <v>#N/A</v>
      </c>
      <c r="O168" t="e">
        <f t="shared" si="21"/>
        <v>#N/A</v>
      </c>
      <c r="P168" t="e">
        <f t="shared" si="22"/>
        <v>#N/A</v>
      </c>
      <c r="Q168" t="e">
        <f t="shared" si="23"/>
        <v>#N/A</v>
      </c>
      <c r="R168">
        <f t="shared" si="24"/>
        <v>210</v>
      </c>
      <c r="S168">
        <f t="shared" si="25"/>
        <v>4200</v>
      </c>
      <c r="T168">
        <f t="shared" si="26"/>
        <v>45.8</v>
      </c>
    </row>
    <row r="169" spans="1:20" ht="16" x14ac:dyDescent="0.2">
      <c r="A169" s="1">
        <v>168</v>
      </c>
      <c r="B169" s="1" t="s">
        <v>24</v>
      </c>
      <c r="C169" s="1" t="s">
        <v>22</v>
      </c>
      <c r="D169" s="1">
        <v>49.3</v>
      </c>
      <c r="E169" s="1">
        <v>15.7</v>
      </c>
      <c r="F169" s="1">
        <v>217</v>
      </c>
      <c r="G169" s="1">
        <v>5850</v>
      </c>
      <c r="H169" s="1" t="s">
        <v>19</v>
      </c>
      <c r="I169" s="1">
        <v>2007</v>
      </c>
      <c r="L169" t="e">
        <f t="shared" si="18"/>
        <v>#N/A</v>
      </c>
      <c r="M169" t="e">
        <f t="shared" si="19"/>
        <v>#N/A</v>
      </c>
      <c r="N169" t="e">
        <f t="shared" si="20"/>
        <v>#N/A</v>
      </c>
      <c r="O169" t="e">
        <f t="shared" si="21"/>
        <v>#N/A</v>
      </c>
      <c r="P169" t="e">
        <f t="shared" si="22"/>
        <v>#N/A</v>
      </c>
      <c r="Q169" t="e">
        <f t="shared" si="23"/>
        <v>#N/A</v>
      </c>
      <c r="R169">
        <f t="shared" si="24"/>
        <v>217</v>
      </c>
      <c r="S169">
        <f t="shared" si="25"/>
        <v>5850</v>
      </c>
      <c r="T169">
        <f t="shared" si="26"/>
        <v>49.3</v>
      </c>
    </row>
    <row r="170" spans="1:20" ht="16" x14ac:dyDescent="0.2">
      <c r="A170" s="1">
        <v>169</v>
      </c>
      <c r="B170" s="1" t="s">
        <v>24</v>
      </c>
      <c r="C170" s="1" t="s">
        <v>22</v>
      </c>
      <c r="D170" s="1">
        <v>42</v>
      </c>
      <c r="E170" s="1">
        <v>13.5</v>
      </c>
      <c r="F170" s="1">
        <v>210</v>
      </c>
      <c r="G170" s="1">
        <v>4150</v>
      </c>
      <c r="H170" s="1" t="s">
        <v>20</v>
      </c>
      <c r="I170" s="1">
        <v>2007</v>
      </c>
      <c r="L170" t="e">
        <f t="shared" si="18"/>
        <v>#N/A</v>
      </c>
      <c r="M170" t="e">
        <f t="shared" si="19"/>
        <v>#N/A</v>
      </c>
      <c r="N170" t="e">
        <f t="shared" si="20"/>
        <v>#N/A</v>
      </c>
      <c r="O170" t="e">
        <f t="shared" si="21"/>
        <v>#N/A</v>
      </c>
      <c r="P170" t="e">
        <f t="shared" si="22"/>
        <v>#N/A</v>
      </c>
      <c r="Q170" t="e">
        <f t="shared" si="23"/>
        <v>#N/A</v>
      </c>
      <c r="R170">
        <f t="shared" si="24"/>
        <v>210</v>
      </c>
      <c r="S170">
        <f t="shared" si="25"/>
        <v>4150</v>
      </c>
      <c r="T170">
        <f t="shared" si="26"/>
        <v>42</v>
      </c>
    </row>
    <row r="171" spans="1:20" ht="16" x14ac:dyDescent="0.2">
      <c r="A171" s="1">
        <v>170</v>
      </c>
      <c r="B171" s="1" t="s">
        <v>24</v>
      </c>
      <c r="C171" s="1" t="s">
        <v>22</v>
      </c>
      <c r="D171" s="1">
        <v>49.2</v>
      </c>
      <c r="E171" s="1">
        <v>15.2</v>
      </c>
      <c r="F171" s="1">
        <v>221</v>
      </c>
      <c r="G171" s="1">
        <v>6300</v>
      </c>
      <c r="H171" s="1" t="s">
        <v>19</v>
      </c>
      <c r="I171" s="1">
        <v>2007</v>
      </c>
      <c r="L171" t="e">
        <f t="shared" si="18"/>
        <v>#N/A</v>
      </c>
      <c r="M171" t="e">
        <f t="shared" si="19"/>
        <v>#N/A</v>
      </c>
      <c r="N171" t="e">
        <f t="shared" si="20"/>
        <v>#N/A</v>
      </c>
      <c r="O171" t="e">
        <f t="shared" si="21"/>
        <v>#N/A</v>
      </c>
      <c r="P171" t="e">
        <f t="shared" si="22"/>
        <v>#N/A</v>
      </c>
      <c r="Q171" t="e">
        <f t="shared" si="23"/>
        <v>#N/A</v>
      </c>
      <c r="R171">
        <f t="shared" si="24"/>
        <v>221</v>
      </c>
      <c r="S171">
        <f t="shared" si="25"/>
        <v>6300</v>
      </c>
      <c r="T171">
        <f t="shared" si="26"/>
        <v>49.2</v>
      </c>
    </row>
    <row r="172" spans="1:20" ht="16" x14ac:dyDescent="0.2">
      <c r="A172" s="1">
        <v>171</v>
      </c>
      <c r="B172" s="1" t="s">
        <v>24</v>
      </c>
      <c r="C172" s="1" t="s">
        <v>22</v>
      </c>
      <c r="D172" s="1">
        <v>46.2</v>
      </c>
      <c r="E172" s="1">
        <v>14.5</v>
      </c>
      <c r="F172" s="1">
        <v>209</v>
      </c>
      <c r="G172" s="1">
        <v>4800</v>
      </c>
      <c r="H172" s="1" t="s">
        <v>20</v>
      </c>
      <c r="I172" s="1">
        <v>2007</v>
      </c>
      <c r="L172" t="e">
        <f t="shared" si="18"/>
        <v>#N/A</v>
      </c>
      <c r="M172" t="e">
        <f t="shared" si="19"/>
        <v>#N/A</v>
      </c>
      <c r="N172" t="e">
        <f t="shared" si="20"/>
        <v>#N/A</v>
      </c>
      <c r="O172" t="e">
        <f t="shared" si="21"/>
        <v>#N/A</v>
      </c>
      <c r="P172" t="e">
        <f t="shared" si="22"/>
        <v>#N/A</v>
      </c>
      <c r="Q172" t="e">
        <f t="shared" si="23"/>
        <v>#N/A</v>
      </c>
      <c r="R172">
        <f t="shared" si="24"/>
        <v>209</v>
      </c>
      <c r="S172">
        <f t="shared" si="25"/>
        <v>4800</v>
      </c>
      <c r="T172">
        <f t="shared" si="26"/>
        <v>46.2</v>
      </c>
    </row>
    <row r="173" spans="1:20" ht="16" x14ac:dyDescent="0.2">
      <c r="A173" s="1">
        <v>172</v>
      </c>
      <c r="B173" s="1" t="s">
        <v>24</v>
      </c>
      <c r="C173" s="1" t="s">
        <v>22</v>
      </c>
      <c r="D173" s="1">
        <v>48.7</v>
      </c>
      <c r="E173" s="1">
        <v>15.1</v>
      </c>
      <c r="F173" s="1">
        <v>222</v>
      </c>
      <c r="G173" s="1">
        <v>5350</v>
      </c>
      <c r="H173" s="1" t="s">
        <v>19</v>
      </c>
      <c r="I173" s="1">
        <v>2007</v>
      </c>
      <c r="L173" t="e">
        <f t="shared" si="18"/>
        <v>#N/A</v>
      </c>
      <c r="M173" t="e">
        <f t="shared" si="19"/>
        <v>#N/A</v>
      </c>
      <c r="N173" t="e">
        <f t="shared" si="20"/>
        <v>#N/A</v>
      </c>
      <c r="O173" t="e">
        <f t="shared" si="21"/>
        <v>#N/A</v>
      </c>
      <c r="P173" t="e">
        <f t="shared" si="22"/>
        <v>#N/A</v>
      </c>
      <c r="Q173" t="e">
        <f t="shared" si="23"/>
        <v>#N/A</v>
      </c>
      <c r="R173">
        <f t="shared" si="24"/>
        <v>222</v>
      </c>
      <c r="S173">
        <f t="shared" si="25"/>
        <v>5350</v>
      </c>
      <c r="T173">
        <f t="shared" si="26"/>
        <v>48.7</v>
      </c>
    </row>
    <row r="174" spans="1:20" ht="16" x14ac:dyDescent="0.2">
      <c r="A174" s="1">
        <v>173</v>
      </c>
      <c r="B174" s="1" t="s">
        <v>24</v>
      </c>
      <c r="C174" s="1" t="s">
        <v>22</v>
      </c>
      <c r="D174" s="1">
        <v>50.2</v>
      </c>
      <c r="E174" s="1">
        <v>14.3</v>
      </c>
      <c r="F174" s="1">
        <v>218</v>
      </c>
      <c r="G174" s="1">
        <v>5700</v>
      </c>
      <c r="H174" s="1" t="s">
        <v>19</v>
      </c>
      <c r="I174" s="1">
        <v>2007</v>
      </c>
      <c r="L174" t="e">
        <f t="shared" si="18"/>
        <v>#N/A</v>
      </c>
      <c r="M174" t="e">
        <f t="shared" si="19"/>
        <v>#N/A</v>
      </c>
      <c r="N174" t="e">
        <f t="shared" si="20"/>
        <v>#N/A</v>
      </c>
      <c r="O174" t="e">
        <f t="shared" si="21"/>
        <v>#N/A</v>
      </c>
      <c r="P174" t="e">
        <f t="shared" si="22"/>
        <v>#N/A</v>
      </c>
      <c r="Q174" t="e">
        <f t="shared" si="23"/>
        <v>#N/A</v>
      </c>
      <c r="R174">
        <f t="shared" si="24"/>
        <v>218</v>
      </c>
      <c r="S174">
        <f t="shared" si="25"/>
        <v>5700</v>
      </c>
      <c r="T174">
        <f t="shared" si="26"/>
        <v>50.2</v>
      </c>
    </row>
    <row r="175" spans="1:20" ht="16" x14ac:dyDescent="0.2">
      <c r="A175" s="1">
        <v>174</v>
      </c>
      <c r="B175" s="1" t="s">
        <v>24</v>
      </c>
      <c r="C175" s="1" t="s">
        <v>22</v>
      </c>
      <c r="D175" s="1">
        <v>45.1</v>
      </c>
      <c r="E175" s="1">
        <v>14.5</v>
      </c>
      <c r="F175" s="1">
        <v>215</v>
      </c>
      <c r="G175" s="1">
        <v>5000</v>
      </c>
      <c r="H175" s="1" t="s">
        <v>20</v>
      </c>
      <c r="I175" s="1">
        <v>2007</v>
      </c>
      <c r="L175" t="e">
        <f t="shared" si="18"/>
        <v>#N/A</v>
      </c>
      <c r="M175" t="e">
        <f t="shared" si="19"/>
        <v>#N/A</v>
      </c>
      <c r="N175" t="e">
        <f t="shared" si="20"/>
        <v>#N/A</v>
      </c>
      <c r="O175" t="e">
        <f t="shared" si="21"/>
        <v>#N/A</v>
      </c>
      <c r="P175" t="e">
        <f t="shared" si="22"/>
        <v>#N/A</v>
      </c>
      <c r="Q175" t="e">
        <f t="shared" si="23"/>
        <v>#N/A</v>
      </c>
      <c r="R175">
        <f t="shared" si="24"/>
        <v>215</v>
      </c>
      <c r="S175">
        <f t="shared" si="25"/>
        <v>5000</v>
      </c>
      <c r="T175">
        <f t="shared" si="26"/>
        <v>45.1</v>
      </c>
    </row>
    <row r="176" spans="1:20" ht="16" x14ac:dyDescent="0.2">
      <c r="A176" s="1">
        <v>175</v>
      </c>
      <c r="B176" s="1" t="s">
        <v>24</v>
      </c>
      <c r="C176" s="1" t="s">
        <v>22</v>
      </c>
      <c r="D176" s="1">
        <v>46.5</v>
      </c>
      <c r="E176" s="1">
        <v>14.5</v>
      </c>
      <c r="F176" s="1">
        <v>213</v>
      </c>
      <c r="G176" s="1">
        <v>4400</v>
      </c>
      <c r="H176" s="1" t="s">
        <v>20</v>
      </c>
      <c r="I176" s="1">
        <v>2007</v>
      </c>
      <c r="L176" t="e">
        <f t="shared" si="18"/>
        <v>#N/A</v>
      </c>
      <c r="M176" t="e">
        <f t="shared" si="19"/>
        <v>#N/A</v>
      </c>
      <c r="N176" t="e">
        <f t="shared" si="20"/>
        <v>#N/A</v>
      </c>
      <c r="O176" t="e">
        <f t="shared" si="21"/>
        <v>#N/A</v>
      </c>
      <c r="P176" t="e">
        <f t="shared" si="22"/>
        <v>#N/A</v>
      </c>
      <c r="Q176" t="e">
        <f t="shared" si="23"/>
        <v>#N/A</v>
      </c>
      <c r="R176">
        <f t="shared" si="24"/>
        <v>213</v>
      </c>
      <c r="S176">
        <f t="shared" si="25"/>
        <v>4400</v>
      </c>
      <c r="T176">
        <f t="shared" si="26"/>
        <v>46.5</v>
      </c>
    </row>
    <row r="177" spans="1:20" ht="16" x14ac:dyDescent="0.2">
      <c r="A177" s="1">
        <v>176</v>
      </c>
      <c r="B177" s="1" t="s">
        <v>24</v>
      </c>
      <c r="C177" s="1" t="s">
        <v>22</v>
      </c>
      <c r="D177" s="1">
        <v>46.3</v>
      </c>
      <c r="E177" s="1">
        <v>15.8</v>
      </c>
      <c r="F177" s="1">
        <v>215</v>
      </c>
      <c r="G177" s="1">
        <v>5050</v>
      </c>
      <c r="H177" s="1" t="s">
        <v>19</v>
      </c>
      <c r="I177" s="1">
        <v>2007</v>
      </c>
      <c r="L177" t="e">
        <f t="shared" si="18"/>
        <v>#N/A</v>
      </c>
      <c r="M177" t="e">
        <f t="shared" si="19"/>
        <v>#N/A</v>
      </c>
      <c r="N177" t="e">
        <f t="shared" si="20"/>
        <v>#N/A</v>
      </c>
      <c r="O177" t="e">
        <f t="shared" si="21"/>
        <v>#N/A</v>
      </c>
      <c r="P177" t="e">
        <f t="shared" si="22"/>
        <v>#N/A</v>
      </c>
      <c r="Q177" t="e">
        <f t="shared" si="23"/>
        <v>#N/A</v>
      </c>
      <c r="R177">
        <f t="shared" si="24"/>
        <v>215</v>
      </c>
      <c r="S177">
        <f t="shared" si="25"/>
        <v>5050</v>
      </c>
      <c r="T177">
        <f t="shared" si="26"/>
        <v>46.3</v>
      </c>
    </row>
    <row r="178" spans="1:20" ht="16" x14ac:dyDescent="0.2">
      <c r="A178" s="1">
        <v>177</v>
      </c>
      <c r="B178" s="1" t="s">
        <v>24</v>
      </c>
      <c r="C178" s="1" t="s">
        <v>22</v>
      </c>
      <c r="D178" s="1">
        <v>42.9</v>
      </c>
      <c r="E178" s="1">
        <v>13.1</v>
      </c>
      <c r="F178" s="1">
        <v>215</v>
      </c>
      <c r="G178" s="1">
        <v>5000</v>
      </c>
      <c r="H178" s="1" t="s">
        <v>20</v>
      </c>
      <c r="I178" s="1">
        <v>2007</v>
      </c>
      <c r="L178" t="e">
        <f t="shared" si="18"/>
        <v>#N/A</v>
      </c>
      <c r="M178" t="e">
        <f t="shared" si="19"/>
        <v>#N/A</v>
      </c>
      <c r="N178" t="e">
        <f t="shared" si="20"/>
        <v>#N/A</v>
      </c>
      <c r="O178" t="e">
        <f t="shared" si="21"/>
        <v>#N/A</v>
      </c>
      <c r="P178" t="e">
        <f t="shared" si="22"/>
        <v>#N/A</v>
      </c>
      <c r="Q178" t="e">
        <f t="shared" si="23"/>
        <v>#N/A</v>
      </c>
      <c r="R178">
        <f t="shared" si="24"/>
        <v>215</v>
      </c>
      <c r="S178">
        <f t="shared" si="25"/>
        <v>5000</v>
      </c>
      <c r="T178">
        <f t="shared" si="26"/>
        <v>42.9</v>
      </c>
    </row>
    <row r="179" spans="1:20" ht="16" x14ac:dyDescent="0.2">
      <c r="A179" s="1">
        <v>178</v>
      </c>
      <c r="B179" s="1" t="s">
        <v>24</v>
      </c>
      <c r="C179" s="1" t="s">
        <v>22</v>
      </c>
      <c r="D179" s="1">
        <v>46.1</v>
      </c>
      <c r="E179" s="1">
        <v>15.1</v>
      </c>
      <c r="F179" s="1">
        <v>215</v>
      </c>
      <c r="G179" s="1">
        <v>5100</v>
      </c>
      <c r="H179" s="1" t="s">
        <v>19</v>
      </c>
      <c r="I179" s="1">
        <v>2007</v>
      </c>
      <c r="L179" t="e">
        <f t="shared" si="18"/>
        <v>#N/A</v>
      </c>
      <c r="M179" t="e">
        <f t="shared" si="19"/>
        <v>#N/A</v>
      </c>
      <c r="N179" t="e">
        <f t="shared" si="20"/>
        <v>#N/A</v>
      </c>
      <c r="O179" t="e">
        <f t="shared" si="21"/>
        <v>#N/A</v>
      </c>
      <c r="P179" t="e">
        <f t="shared" si="22"/>
        <v>#N/A</v>
      </c>
      <c r="Q179" t="e">
        <f t="shared" si="23"/>
        <v>#N/A</v>
      </c>
      <c r="R179">
        <f t="shared" si="24"/>
        <v>215</v>
      </c>
      <c r="S179">
        <f t="shared" si="25"/>
        <v>5100</v>
      </c>
      <c r="T179">
        <f t="shared" si="26"/>
        <v>46.1</v>
      </c>
    </row>
    <row r="180" spans="1:20" ht="16" x14ac:dyDescent="0.2">
      <c r="A180" s="1">
        <v>179</v>
      </c>
      <c r="B180" s="1" t="s">
        <v>24</v>
      </c>
      <c r="C180" s="1" t="s">
        <v>22</v>
      </c>
      <c r="D180" s="1">
        <v>44.5</v>
      </c>
      <c r="E180" s="1">
        <v>14.3</v>
      </c>
      <c r="F180" s="1">
        <v>216</v>
      </c>
      <c r="G180" s="1">
        <v>4100</v>
      </c>
      <c r="H180" s="1" t="s">
        <v>21</v>
      </c>
      <c r="I180" s="1">
        <v>2007</v>
      </c>
      <c r="L180" t="e">
        <f t="shared" si="18"/>
        <v>#N/A</v>
      </c>
      <c r="M180" t="e">
        <f t="shared" si="19"/>
        <v>#N/A</v>
      </c>
      <c r="N180" t="e">
        <f t="shared" si="20"/>
        <v>#N/A</v>
      </c>
      <c r="O180" t="e">
        <f t="shared" si="21"/>
        <v>#N/A</v>
      </c>
      <c r="P180" t="e">
        <f t="shared" si="22"/>
        <v>#N/A</v>
      </c>
      <c r="Q180" t="e">
        <f t="shared" si="23"/>
        <v>#N/A</v>
      </c>
      <c r="R180">
        <f t="shared" si="24"/>
        <v>216</v>
      </c>
      <c r="S180">
        <f t="shared" si="25"/>
        <v>4100</v>
      </c>
      <c r="T180">
        <f t="shared" si="26"/>
        <v>44.5</v>
      </c>
    </row>
    <row r="181" spans="1:20" ht="16" x14ac:dyDescent="0.2">
      <c r="A181" s="1">
        <v>180</v>
      </c>
      <c r="B181" s="1" t="s">
        <v>24</v>
      </c>
      <c r="C181" s="1" t="s">
        <v>22</v>
      </c>
      <c r="D181" s="1">
        <v>47.8</v>
      </c>
      <c r="E181" s="1">
        <v>15</v>
      </c>
      <c r="F181" s="1">
        <v>215</v>
      </c>
      <c r="G181" s="1">
        <v>5650</v>
      </c>
      <c r="H181" s="1" t="s">
        <v>19</v>
      </c>
      <c r="I181" s="1">
        <v>2007</v>
      </c>
      <c r="L181" t="e">
        <f t="shared" si="18"/>
        <v>#N/A</v>
      </c>
      <c r="M181" t="e">
        <f t="shared" si="19"/>
        <v>#N/A</v>
      </c>
      <c r="N181" t="e">
        <f t="shared" si="20"/>
        <v>#N/A</v>
      </c>
      <c r="O181" t="e">
        <f t="shared" si="21"/>
        <v>#N/A</v>
      </c>
      <c r="P181" t="e">
        <f t="shared" si="22"/>
        <v>#N/A</v>
      </c>
      <c r="Q181" t="e">
        <f t="shared" si="23"/>
        <v>#N/A</v>
      </c>
      <c r="R181">
        <f t="shared" si="24"/>
        <v>215</v>
      </c>
      <c r="S181">
        <f t="shared" si="25"/>
        <v>5650</v>
      </c>
      <c r="T181">
        <f t="shared" si="26"/>
        <v>47.8</v>
      </c>
    </row>
    <row r="182" spans="1:20" ht="16" x14ac:dyDescent="0.2">
      <c r="A182" s="1">
        <v>181</v>
      </c>
      <c r="B182" s="1" t="s">
        <v>24</v>
      </c>
      <c r="C182" s="1" t="s">
        <v>22</v>
      </c>
      <c r="D182" s="1">
        <v>48.2</v>
      </c>
      <c r="E182" s="1">
        <v>14.3</v>
      </c>
      <c r="F182" s="1">
        <v>210</v>
      </c>
      <c r="G182" s="1">
        <v>4600</v>
      </c>
      <c r="H182" s="1" t="s">
        <v>20</v>
      </c>
      <c r="I182" s="1">
        <v>2007</v>
      </c>
      <c r="L182" t="e">
        <f t="shared" si="18"/>
        <v>#N/A</v>
      </c>
      <c r="M182" t="e">
        <f t="shared" si="19"/>
        <v>#N/A</v>
      </c>
      <c r="N182" t="e">
        <f t="shared" si="20"/>
        <v>#N/A</v>
      </c>
      <c r="O182" t="e">
        <f t="shared" si="21"/>
        <v>#N/A</v>
      </c>
      <c r="P182" t="e">
        <f t="shared" si="22"/>
        <v>#N/A</v>
      </c>
      <c r="Q182" t="e">
        <f t="shared" si="23"/>
        <v>#N/A</v>
      </c>
      <c r="R182">
        <f t="shared" si="24"/>
        <v>210</v>
      </c>
      <c r="S182">
        <f t="shared" si="25"/>
        <v>4600</v>
      </c>
      <c r="T182">
        <f t="shared" si="26"/>
        <v>48.2</v>
      </c>
    </row>
    <row r="183" spans="1:20" ht="16" x14ac:dyDescent="0.2">
      <c r="A183" s="1">
        <v>182</v>
      </c>
      <c r="B183" s="1" t="s">
        <v>24</v>
      </c>
      <c r="C183" s="1" t="s">
        <v>22</v>
      </c>
      <c r="D183" s="1">
        <v>50</v>
      </c>
      <c r="E183" s="1">
        <v>15.3</v>
      </c>
      <c r="F183" s="1">
        <v>220</v>
      </c>
      <c r="G183" s="1">
        <v>5550</v>
      </c>
      <c r="H183" s="1" t="s">
        <v>19</v>
      </c>
      <c r="I183" s="1">
        <v>2007</v>
      </c>
      <c r="L183" t="e">
        <f t="shared" si="18"/>
        <v>#N/A</v>
      </c>
      <c r="M183" t="e">
        <f t="shared" si="19"/>
        <v>#N/A</v>
      </c>
      <c r="N183" t="e">
        <f t="shared" si="20"/>
        <v>#N/A</v>
      </c>
      <c r="O183" t="e">
        <f t="shared" si="21"/>
        <v>#N/A</v>
      </c>
      <c r="P183" t="e">
        <f t="shared" si="22"/>
        <v>#N/A</v>
      </c>
      <c r="Q183" t="e">
        <f t="shared" si="23"/>
        <v>#N/A</v>
      </c>
      <c r="R183">
        <f t="shared" si="24"/>
        <v>220</v>
      </c>
      <c r="S183">
        <f t="shared" si="25"/>
        <v>5550</v>
      </c>
      <c r="T183">
        <f t="shared" si="26"/>
        <v>50</v>
      </c>
    </row>
    <row r="184" spans="1:20" ht="16" x14ac:dyDescent="0.2">
      <c r="A184" s="1">
        <v>183</v>
      </c>
      <c r="B184" s="1" t="s">
        <v>24</v>
      </c>
      <c r="C184" s="1" t="s">
        <v>22</v>
      </c>
      <c r="D184" s="1">
        <v>47.3</v>
      </c>
      <c r="E184" s="1">
        <v>15.3</v>
      </c>
      <c r="F184" s="1">
        <v>222</v>
      </c>
      <c r="G184" s="1">
        <v>5250</v>
      </c>
      <c r="H184" s="1" t="s">
        <v>19</v>
      </c>
      <c r="I184" s="1">
        <v>2007</v>
      </c>
      <c r="L184" t="e">
        <f t="shared" si="18"/>
        <v>#N/A</v>
      </c>
      <c r="M184" t="e">
        <f t="shared" si="19"/>
        <v>#N/A</v>
      </c>
      <c r="N184" t="e">
        <f t="shared" si="20"/>
        <v>#N/A</v>
      </c>
      <c r="O184" t="e">
        <f t="shared" si="21"/>
        <v>#N/A</v>
      </c>
      <c r="P184" t="e">
        <f t="shared" si="22"/>
        <v>#N/A</v>
      </c>
      <c r="Q184" t="e">
        <f t="shared" si="23"/>
        <v>#N/A</v>
      </c>
      <c r="R184">
        <f t="shared" si="24"/>
        <v>222</v>
      </c>
      <c r="S184">
        <f t="shared" si="25"/>
        <v>5250</v>
      </c>
      <c r="T184">
        <f t="shared" si="26"/>
        <v>47.3</v>
      </c>
    </row>
    <row r="185" spans="1:20" ht="16" x14ac:dyDescent="0.2">
      <c r="A185" s="1">
        <v>184</v>
      </c>
      <c r="B185" s="1" t="s">
        <v>24</v>
      </c>
      <c r="C185" s="1" t="s">
        <v>22</v>
      </c>
      <c r="D185" s="1">
        <v>42.8</v>
      </c>
      <c r="E185" s="1">
        <v>14.2</v>
      </c>
      <c r="F185" s="1">
        <v>209</v>
      </c>
      <c r="G185" s="1">
        <v>4700</v>
      </c>
      <c r="H185" s="1" t="s">
        <v>20</v>
      </c>
      <c r="I185" s="1">
        <v>2007</v>
      </c>
      <c r="L185" t="e">
        <f t="shared" si="18"/>
        <v>#N/A</v>
      </c>
      <c r="M185" t="e">
        <f t="shared" si="19"/>
        <v>#N/A</v>
      </c>
      <c r="N185" t="e">
        <f t="shared" si="20"/>
        <v>#N/A</v>
      </c>
      <c r="O185" t="e">
        <f t="shared" si="21"/>
        <v>#N/A</v>
      </c>
      <c r="P185" t="e">
        <f t="shared" si="22"/>
        <v>#N/A</v>
      </c>
      <c r="Q185" t="e">
        <f t="shared" si="23"/>
        <v>#N/A</v>
      </c>
      <c r="R185">
        <f t="shared" si="24"/>
        <v>209</v>
      </c>
      <c r="S185">
        <f t="shared" si="25"/>
        <v>4700</v>
      </c>
      <c r="T185">
        <f t="shared" si="26"/>
        <v>42.8</v>
      </c>
    </row>
    <row r="186" spans="1:20" ht="16" x14ac:dyDescent="0.2">
      <c r="A186" s="1">
        <v>185</v>
      </c>
      <c r="B186" s="1" t="s">
        <v>24</v>
      </c>
      <c r="C186" s="1" t="s">
        <v>22</v>
      </c>
      <c r="D186" s="1">
        <v>45.1</v>
      </c>
      <c r="E186" s="1">
        <v>14.5</v>
      </c>
      <c r="F186" s="1">
        <v>207</v>
      </c>
      <c r="G186" s="1">
        <v>5050</v>
      </c>
      <c r="H186" s="1" t="s">
        <v>20</v>
      </c>
      <c r="I186" s="1">
        <v>2007</v>
      </c>
      <c r="L186" t="e">
        <f t="shared" si="18"/>
        <v>#N/A</v>
      </c>
      <c r="M186" t="e">
        <f t="shared" si="19"/>
        <v>#N/A</v>
      </c>
      <c r="N186" t="e">
        <f t="shared" si="20"/>
        <v>#N/A</v>
      </c>
      <c r="O186" t="e">
        <f t="shared" si="21"/>
        <v>#N/A</v>
      </c>
      <c r="P186" t="e">
        <f t="shared" si="22"/>
        <v>#N/A</v>
      </c>
      <c r="Q186" t="e">
        <f t="shared" si="23"/>
        <v>#N/A</v>
      </c>
      <c r="R186">
        <f t="shared" si="24"/>
        <v>207</v>
      </c>
      <c r="S186">
        <f t="shared" si="25"/>
        <v>5050</v>
      </c>
      <c r="T186">
        <f t="shared" si="26"/>
        <v>45.1</v>
      </c>
    </row>
    <row r="187" spans="1:20" ht="16" x14ac:dyDescent="0.2">
      <c r="A187" s="1">
        <v>186</v>
      </c>
      <c r="B187" s="1" t="s">
        <v>24</v>
      </c>
      <c r="C187" s="1" t="s">
        <v>22</v>
      </c>
      <c r="D187" s="1">
        <v>59.6</v>
      </c>
      <c r="E187" s="1">
        <v>17</v>
      </c>
      <c r="F187" s="1">
        <v>230</v>
      </c>
      <c r="G187" s="1">
        <v>6050</v>
      </c>
      <c r="H187" s="1" t="s">
        <v>19</v>
      </c>
      <c r="I187" s="1">
        <v>2007</v>
      </c>
      <c r="L187" t="e">
        <f t="shared" si="18"/>
        <v>#N/A</v>
      </c>
      <c r="M187" t="e">
        <f t="shared" si="19"/>
        <v>#N/A</v>
      </c>
      <c r="N187" t="e">
        <f t="shared" si="20"/>
        <v>#N/A</v>
      </c>
      <c r="O187" t="e">
        <f t="shared" si="21"/>
        <v>#N/A</v>
      </c>
      <c r="P187" t="e">
        <f t="shared" si="22"/>
        <v>#N/A</v>
      </c>
      <c r="Q187" t="e">
        <f t="shared" si="23"/>
        <v>#N/A</v>
      </c>
      <c r="R187">
        <f t="shared" si="24"/>
        <v>230</v>
      </c>
      <c r="S187">
        <f t="shared" si="25"/>
        <v>6050</v>
      </c>
      <c r="T187">
        <f t="shared" si="26"/>
        <v>59.6</v>
      </c>
    </row>
    <row r="188" spans="1:20" ht="16" x14ac:dyDescent="0.2">
      <c r="A188" s="1">
        <v>187</v>
      </c>
      <c r="B188" s="1" t="s">
        <v>24</v>
      </c>
      <c r="C188" s="1" t="s">
        <v>22</v>
      </c>
      <c r="D188" s="1">
        <v>49.1</v>
      </c>
      <c r="E188" s="1">
        <v>14.8</v>
      </c>
      <c r="F188" s="1">
        <v>220</v>
      </c>
      <c r="G188" s="1">
        <v>5150</v>
      </c>
      <c r="H188" s="1" t="s">
        <v>20</v>
      </c>
      <c r="I188" s="1">
        <v>2008</v>
      </c>
      <c r="L188" t="e">
        <f t="shared" si="18"/>
        <v>#N/A</v>
      </c>
      <c r="M188" t="e">
        <f t="shared" si="19"/>
        <v>#N/A</v>
      </c>
      <c r="N188" t="e">
        <f t="shared" si="20"/>
        <v>#N/A</v>
      </c>
      <c r="O188" t="e">
        <f t="shared" si="21"/>
        <v>#N/A</v>
      </c>
      <c r="P188" t="e">
        <f t="shared" si="22"/>
        <v>#N/A</v>
      </c>
      <c r="Q188" t="e">
        <f t="shared" si="23"/>
        <v>#N/A</v>
      </c>
      <c r="R188">
        <f t="shared" si="24"/>
        <v>220</v>
      </c>
      <c r="S188">
        <f t="shared" si="25"/>
        <v>5150</v>
      </c>
      <c r="T188">
        <f t="shared" si="26"/>
        <v>49.1</v>
      </c>
    </row>
    <row r="189" spans="1:20" ht="16" x14ac:dyDescent="0.2">
      <c r="A189" s="1">
        <v>188</v>
      </c>
      <c r="B189" s="1" t="s">
        <v>24</v>
      </c>
      <c r="C189" s="1" t="s">
        <v>22</v>
      </c>
      <c r="D189" s="1">
        <v>48.4</v>
      </c>
      <c r="E189" s="1">
        <v>16.3</v>
      </c>
      <c r="F189" s="1">
        <v>220</v>
      </c>
      <c r="G189" s="1">
        <v>5400</v>
      </c>
      <c r="H189" s="1" t="s">
        <v>19</v>
      </c>
      <c r="I189" s="1">
        <v>2008</v>
      </c>
      <c r="L189" t="e">
        <f t="shared" si="18"/>
        <v>#N/A</v>
      </c>
      <c r="M189" t="e">
        <f t="shared" si="19"/>
        <v>#N/A</v>
      </c>
      <c r="N189" t="e">
        <f t="shared" si="20"/>
        <v>#N/A</v>
      </c>
      <c r="O189" t="e">
        <f t="shared" si="21"/>
        <v>#N/A</v>
      </c>
      <c r="P189" t="e">
        <f t="shared" si="22"/>
        <v>#N/A</v>
      </c>
      <c r="Q189" t="e">
        <f t="shared" si="23"/>
        <v>#N/A</v>
      </c>
      <c r="R189">
        <f t="shared" si="24"/>
        <v>220</v>
      </c>
      <c r="S189">
        <f t="shared" si="25"/>
        <v>5400</v>
      </c>
      <c r="T189">
        <f t="shared" si="26"/>
        <v>48.4</v>
      </c>
    </row>
    <row r="190" spans="1:20" ht="16" x14ac:dyDescent="0.2">
      <c r="A190" s="1">
        <v>189</v>
      </c>
      <c r="B190" s="1" t="s">
        <v>24</v>
      </c>
      <c r="C190" s="1" t="s">
        <v>22</v>
      </c>
      <c r="D190" s="1">
        <v>42.6</v>
      </c>
      <c r="E190" s="1">
        <v>13.7</v>
      </c>
      <c r="F190" s="1">
        <v>213</v>
      </c>
      <c r="G190" s="1">
        <v>4950</v>
      </c>
      <c r="H190" s="1" t="s">
        <v>20</v>
      </c>
      <c r="I190" s="1">
        <v>2008</v>
      </c>
      <c r="L190" t="e">
        <f t="shared" si="18"/>
        <v>#N/A</v>
      </c>
      <c r="M190" t="e">
        <f t="shared" si="19"/>
        <v>#N/A</v>
      </c>
      <c r="N190" t="e">
        <f t="shared" si="20"/>
        <v>#N/A</v>
      </c>
      <c r="O190" t="e">
        <f t="shared" si="21"/>
        <v>#N/A</v>
      </c>
      <c r="P190" t="e">
        <f t="shared" si="22"/>
        <v>#N/A</v>
      </c>
      <c r="Q190" t="e">
        <f t="shared" si="23"/>
        <v>#N/A</v>
      </c>
      <c r="R190">
        <f t="shared" si="24"/>
        <v>213</v>
      </c>
      <c r="S190">
        <f t="shared" si="25"/>
        <v>4950</v>
      </c>
      <c r="T190">
        <f t="shared" si="26"/>
        <v>42.6</v>
      </c>
    </row>
    <row r="191" spans="1:20" ht="16" x14ac:dyDescent="0.2">
      <c r="A191" s="1">
        <v>190</v>
      </c>
      <c r="B191" s="1" t="s">
        <v>24</v>
      </c>
      <c r="C191" s="1" t="s">
        <v>22</v>
      </c>
      <c r="D191" s="1">
        <v>44.4</v>
      </c>
      <c r="E191" s="1">
        <v>17.3</v>
      </c>
      <c r="F191" s="1">
        <v>219</v>
      </c>
      <c r="G191" s="1">
        <v>5250</v>
      </c>
      <c r="H191" s="1" t="s">
        <v>19</v>
      </c>
      <c r="I191" s="1">
        <v>2008</v>
      </c>
      <c r="L191" t="e">
        <f t="shared" si="18"/>
        <v>#N/A</v>
      </c>
      <c r="M191" t="e">
        <f t="shared" si="19"/>
        <v>#N/A</v>
      </c>
      <c r="N191" t="e">
        <f t="shared" si="20"/>
        <v>#N/A</v>
      </c>
      <c r="O191" t="e">
        <f t="shared" si="21"/>
        <v>#N/A</v>
      </c>
      <c r="P191" t="e">
        <f t="shared" si="22"/>
        <v>#N/A</v>
      </c>
      <c r="Q191" t="e">
        <f t="shared" si="23"/>
        <v>#N/A</v>
      </c>
      <c r="R191">
        <f t="shared" si="24"/>
        <v>219</v>
      </c>
      <c r="S191">
        <f t="shared" si="25"/>
        <v>5250</v>
      </c>
      <c r="T191">
        <f t="shared" si="26"/>
        <v>44.4</v>
      </c>
    </row>
    <row r="192" spans="1:20" ht="16" x14ac:dyDescent="0.2">
      <c r="A192" s="1">
        <v>191</v>
      </c>
      <c r="B192" s="1" t="s">
        <v>24</v>
      </c>
      <c r="C192" s="1" t="s">
        <v>22</v>
      </c>
      <c r="D192" s="1">
        <v>44</v>
      </c>
      <c r="E192" s="1">
        <v>13.6</v>
      </c>
      <c r="F192" s="1">
        <v>208</v>
      </c>
      <c r="G192" s="1">
        <v>4350</v>
      </c>
      <c r="H192" s="1" t="s">
        <v>20</v>
      </c>
      <c r="I192" s="1">
        <v>2008</v>
      </c>
      <c r="L192" t="e">
        <f t="shared" si="18"/>
        <v>#N/A</v>
      </c>
      <c r="M192" t="e">
        <f t="shared" si="19"/>
        <v>#N/A</v>
      </c>
      <c r="N192" t="e">
        <f t="shared" si="20"/>
        <v>#N/A</v>
      </c>
      <c r="O192" t="e">
        <f t="shared" si="21"/>
        <v>#N/A</v>
      </c>
      <c r="P192" t="e">
        <f t="shared" si="22"/>
        <v>#N/A</v>
      </c>
      <c r="Q192" t="e">
        <f t="shared" si="23"/>
        <v>#N/A</v>
      </c>
      <c r="R192">
        <f t="shared" si="24"/>
        <v>208</v>
      </c>
      <c r="S192">
        <f t="shared" si="25"/>
        <v>4350</v>
      </c>
      <c r="T192">
        <f t="shared" si="26"/>
        <v>44</v>
      </c>
    </row>
    <row r="193" spans="1:20" ht="16" x14ac:dyDescent="0.2">
      <c r="A193" s="1">
        <v>192</v>
      </c>
      <c r="B193" s="1" t="s">
        <v>24</v>
      </c>
      <c r="C193" s="1" t="s">
        <v>22</v>
      </c>
      <c r="D193" s="1">
        <v>48.7</v>
      </c>
      <c r="E193" s="1">
        <v>15.7</v>
      </c>
      <c r="F193" s="1">
        <v>208</v>
      </c>
      <c r="G193" s="1">
        <v>5350</v>
      </c>
      <c r="H193" s="1" t="s">
        <v>19</v>
      </c>
      <c r="I193" s="1">
        <v>2008</v>
      </c>
      <c r="L193" t="e">
        <f t="shared" si="18"/>
        <v>#N/A</v>
      </c>
      <c r="M193" t="e">
        <f t="shared" si="19"/>
        <v>#N/A</v>
      </c>
      <c r="N193" t="e">
        <f t="shared" si="20"/>
        <v>#N/A</v>
      </c>
      <c r="O193" t="e">
        <f t="shared" si="21"/>
        <v>#N/A</v>
      </c>
      <c r="P193" t="e">
        <f t="shared" si="22"/>
        <v>#N/A</v>
      </c>
      <c r="Q193" t="e">
        <f t="shared" si="23"/>
        <v>#N/A</v>
      </c>
      <c r="R193">
        <f t="shared" si="24"/>
        <v>208</v>
      </c>
      <c r="S193">
        <f t="shared" si="25"/>
        <v>5350</v>
      </c>
      <c r="T193">
        <f t="shared" si="26"/>
        <v>48.7</v>
      </c>
    </row>
    <row r="194" spans="1:20" ht="16" x14ac:dyDescent="0.2">
      <c r="A194" s="1">
        <v>193</v>
      </c>
      <c r="B194" s="1" t="s">
        <v>24</v>
      </c>
      <c r="C194" s="1" t="s">
        <v>22</v>
      </c>
      <c r="D194" s="1">
        <v>42.7</v>
      </c>
      <c r="E194" s="1">
        <v>13.7</v>
      </c>
      <c r="F194" s="1">
        <v>208</v>
      </c>
      <c r="G194" s="1">
        <v>3950</v>
      </c>
      <c r="H194" s="1" t="s">
        <v>20</v>
      </c>
      <c r="I194" s="1">
        <v>2008</v>
      </c>
      <c r="L194" t="e">
        <f t="shared" si="18"/>
        <v>#N/A</v>
      </c>
      <c r="M194" t="e">
        <f t="shared" si="19"/>
        <v>#N/A</v>
      </c>
      <c r="N194" t="e">
        <f t="shared" si="20"/>
        <v>#N/A</v>
      </c>
      <c r="O194" t="e">
        <f t="shared" si="21"/>
        <v>#N/A</v>
      </c>
      <c r="P194" t="e">
        <f t="shared" si="22"/>
        <v>#N/A</v>
      </c>
      <c r="Q194" t="e">
        <f t="shared" si="23"/>
        <v>#N/A</v>
      </c>
      <c r="R194">
        <f t="shared" si="24"/>
        <v>208</v>
      </c>
      <c r="S194">
        <f t="shared" si="25"/>
        <v>3950</v>
      </c>
      <c r="T194">
        <f t="shared" si="26"/>
        <v>42.7</v>
      </c>
    </row>
    <row r="195" spans="1:20" ht="16" x14ac:dyDescent="0.2">
      <c r="A195" s="1">
        <v>194</v>
      </c>
      <c r="B195" s="1" t="s">
        <v>24</v>
      </c>
      <c r="C195" s="1" t="s">
        <v>22</v>
      </c>
      <c r="D195" s="1">
        <v>49.6</v>
      </c>
      <c r="E195" s="1">
        <v>16</v>
      </c>
      <c r="F195" s="1">
        <v>225</v>
      </c>
      <c r="G195" s="1">
        <v>5700</v>
      </c>
      <c r="H195" s="1" t="s">
        <v>19</v>
      </c>
      <c r="I195" s="1">
        <v>2008</v>
      </c>
      <c r="L195" t="e">
        <f t="shared" ref="L195:L258" si="27">IF(TRIM($B195)="Adelie",IFERROR(VALUE($F195),NA()),NA())</f>
        <v>#N/A</v>
      </c>
      <c r="M195" t="e">
        <f t="shared" ref="M195:M258" si="28">IF(TRIM(CLEAN(SUBSTITUTE($B195,CHAR(160),"")))="Adelie",IFERROR(VALUE($G195),NA()),NA())</f>
        <v>#N/A</v>
      </c>
      <c r="N195" t="e">
        <f t="shared" ref="N195:N258" si="29">IF(TRIM(CLEAN(SUBSTITUTE($B195,CHAR(160),"")))="Adelie",IF(OR($D195="NA",$D195=""),NA(),VALUE($D195)),NA())</f>
        <v>#N/A</v>
      </c>
      <c r="O195" t="e">
        <f t="shared" ref="O195:O258" si="30">IF(TRIM(CLEAN(SUBSTITUTE($B195,CHAR(160),"")))="Chinstrap",IF(OR($F195="NA",$F195=""),NA(),VALUE($F195)),NA())</f>
        <v>#N/A</v>
      </c>
      <c r="P195" t="e">
        <f t="shared" ref="P195:P258" si="31">IF(TRIM(CLEAN(SUBSTITUTE($B195,CHAR(160),"")))="Chinstrap",IF(OR($G195="NA",$G195=""),NA(),VALUE($G195)),NA())</f>
        <v>#N/A</v>
      </c>
      <c r="Q195" t="e">
        <f t="shared" ref="Q195:Q258" si="32">IF(TRIM(CLEAN(SUBSTITUTE($B195,CHAR(160),"")))="Chinstrap",IF(OR($D195="NA",$D195=""),NA(),VALUE($D195)),NA())</f>
        <v>#N/A</v>
      </c>
      <c r="R195">
        <f t="shared" ref="R195:R258" si="33">IF(TRIM(CLEAN(SUBSTITUTE($B195,CHAR(160),"")))="Gentoo",IF(OR($F195="NA",$F195=""),NA(),VALUE($F195)),NA())</f>
        <v>225</v>
      </c>
      <c r="S195">
        <f t="shared" ref="S195:S258" si="34">IF(TRIM(CLEAN(SUBSTITUTE($B195,CHAR(160),"")))="Gentoo",IF(OR($G195="NA",$G195=""),NA(),VALUE($G195)),NA())</f>
        <v>5700</v>
      </c>
      <c r="T195">
        <f t="shared" ref="T195:T258" si="35">IF(TRIM(CLEAN(SUBSTITUTE($B195,CHAR(160),"")))="Gentoo",IF(OR($D195="NA",$D195=""),NA(),VALUE($D195)),NA())</f>
        <v>49.6</v>
      </c>
    </row>
    <row r="196" spans="1:20" ht="16" x14ac:dyDescent="0.2">
      <c r="A196" s="1">
        <v>195</v>
      </c>
      <c r="B196" s="1" t="s">
        <v>24</v>
      </c>
      <c r="C196" s="1" t="s">
        <v>22</v>
      </c>
      <c r="D196" s="1">
        <v>45.3</v>
      </c>
      <c r="E196" s="1">
        <v>13.7</v>
      </c>
      <c r="F196" s="1">
        <v>210</v>
      </c>
      <c r="G196" s="1">
        <v>4300</v>
      </c>
      <c r="H196" s="1" t="s">
        <v>20</v>
      </c>
      <c r="I196" s="1">
        <v>2008</v>
      </c>
      <c r="L196" t="e">
        <f t="shared" si="27"/>
        <v>#N/A</v>
      </c>
      <c r="M196" t="e">
        <f t="shared" si="28"/>
        <v>#N/A</v>
      </c>
      <c r="N196" t="e">
        <f t="shared" si="29"/>
        <v>#N/A</v>
      </c>
      <c r="O196" t="e">
        <f t="shared" si="30"/>
        <v>#N/A</v>
      </c>
      <c r="P196" t="e">
        <f t="shared" si="31"/>
        <v>#N/A</v>
      </c>
      <c r="Q196" t="e">
        <f t="shared" si="32"/>
        <v>#N/A</v>
      </c>
      <c r="R196">
        <f t="shared" si="33"/>
        <v>210</v>
      </c>
      <c r="S196">
        <f t="shared" si="34"/>
        <v>4300</v>
      </c>
      <c r="T196">
        <f t="shared" si="35"/>
        <v>45.3</v>
      </c>
    </row>
    <row r="197" spans="1:20" ht="16" x14ac:dyDescent="0.2">
      <c r="A197" s="1">
        <v>196</v>
      </c>
      <c r="B197" s="1" t="s">
        <v>24</v>
      </c>
      <c r="C197" s="1" t="s">
        <v>22</v>
      </c>
      <c r="D197" s="1">
        <v>49.6</v>
      </c>
      <c r="E197" s="1">
        <v>15</v>
      </c>
      <c r="F197" s="1">
        <v>216</v>
      </c>
      <c r="G197" s="1">
        <v>4750</v>
      </c>
      <c r="H197" s="1" t="s">
        <v>19</v>
      </c>
      <c r="I197" s="1">
        <v>2008</v>
      </c>
      <c r="L197" t="e">
        <f t="shared" si="27"/>
        <v>#N/A</v>
      </c>
      <c r="M197" t="e">
        <f t="shared" si="28"/>
        <v>#N/A</v>
      </c>
      <c r="N197" t="e">
        <f t="shared" si="29"/>
        <v>#N/A</v>
      </c>
      <c r="O197" t="e">
        <f t="shared" si="30"/>
        <v>#N/A</v>
      </c>
      <c r="P197" t="e">
        <f t="shared" si="31"/>
        <v>#N/A</v>
      </c>
      <c r="Q197" t="e">
        <f t="shared" si="32"/>
        <v>#N/A</v>
      </c>
      <c r="R197">
        <f t="shared" si="33"/>
        <v>216</v>
      </c>
      <c r="S197">
        <f t="shared" si="34"/>
        <v>4750</v>
      </c>
      <c r="T197">
        <f t="shared" si="35"/>
        <v>49.6</v>
      </c>
    </row>
    <row r="198" spans="1:20" ht="16" x14ac:dyDescent="0.2">
      <c r="A198" s="1">
        <v>197</v>
      </c>
      <c r="B198" s="1" t="s">
        <v>24</v>
      </c>
      <c r="C198" s="1" t="s">
        <v>22</v>
      </c>
      <c r="D198" s="1">
        <v>50.5</v>
      </c>
      <c r="E198" s="1">
        <v>15.9</v>
      </c>
      <c r="F198" s="1">
        <v>222</v>
      </c>
      <c r="G198" s="1">
        <v>5550</v>
      </c>
      <c r="H198" s="1" t="s">
        <v>19</v>
      </c>
      <c r="I198" s="1">
        <v>2008</v>
      </c>
      <c r="L198" t="e">
        <f t="shared" si="27"/>
        <v>#N/A</v>
      </c>
      <c r="M198" t="e">
        <f t="shared" si="28"/>
        <v>#N/A</v>
      </c>
      <c r="N198" t="e">
        <f t="shared" si="29"/>
        <v>#N/A</v>
      </c>
      <c r="O198" t="e">
        <f t="shared" si="30"/>
        <v>#N/A</v>
      </c>
      <c r="P198" t="e">
        <f t="shared" si="31"/>
        <v>#N/A</v>
      </c>
      <c r="Q198" t="e">
        <f t="shared" si="32"/>
        <v>#N/A</v>
      </c>
      <c r="R198">
        <f t="shared" si="33"/>
        <v>222</v>
      </c>
      <c r="S198">
        <f t="shared" si="34"/>
        <v>5550</v>
      </c>
      <c r="T198">
        <f t="shared" si="35"/>
        <v>50.5</v>
      </c>
    </row>
    <row r="199" spans="1:20" ht="16" x14ac:dyDescent="0.2">
      <c r="A199" s="1">
        <v>198</v>
      </c>
      <c r="B199" s="1" t="s">
        <v>24</v>
      </c>
      <c r="C199" s="1" t="s">
        <v>22</v>
      </c>
      <c r="D199" s="1">
        <v>43.6</v>
      </c>
      <c r="E199" s="1">
        <v>13.9</v>
      </c>
      <c r="F199" s="1">
        <v>217</v>
      </c>
      <c r="G199" s="1">
        <v>4900</v>
      </c>
      <c r="H199" s="1" t="s">
        <v>20</v>
      </c>
      <c r="I199" s="1">
        <v>2008</v>
      </c>
      <c r="L199" t="e">
        <f t="shared" si="27"/>
        <v>#N/A</v>
      </c>
      <c r="M199" t="e">
        <f t="shared" si="28"/>
        <v>#N/A</v>
      </c>
      <c r="N199" t="e">
        <f t="shared" si="29"/>
        <v>#N/A</v>
      </c>
      <c r="O199" t="e">
        <f t="shared" si="30"/>
        <v>#N/A</v>
      </c>
      <c r="P199" t="e">
        <f t="shared" si="31"/>
        <v>#N/A</v>
      </c>
      <c r="Q199" t="e">
        <f t="shared" si="32"/>
        <v>#N/A</v>
      </c>
      <c r="R199">
        <f t="shared" si="33"/>
        <v>217</v>
      </c>
      <c r="S199">
        <f t="shared" si="34"/>
        <v>4900</v>
      </c>
      <c r="T199">
        <f t="shared" si="35"/>
        <v>43.6</v>
      </c>
    </row>
    <row r="200" spans="1:20" ht="16" x14ac:dyDescent="0.2">
      <c r="A200" s="1">
        <v>199</v>
      </c>
      <c r="B200" s="1" t="s">
        <v>24</v>
      </c>
      <c r="C200" s="1" t="s">
        <v>22</v>
      </c>
      <c r="D200" s="1">
        <v>45.5</v>
      </c>
      <c r="E200" s="1">
        <v>13.9</v>
      </c>
      <c r="F200" s="1">
        <v>210</v>
      </c>
      <c r="G200" s="1">
        <v>4200</v>
      </c>
      <c r="H200" s="1" t="s">
        <v>20</v>
      </c>
      <c r="I200" s="1">
        <v>2008</v>
      </c>
      <c r="L200" t="e">
        <f t="shared" si="27"/>
        <v>#N/A</v>
      </c>
      <c r="M200" t="e">
        <f t="shared" si="28"/>
        <v>#N/A</v>
      </c>
      <c r="N200" t="e">
        <f t="shared" si="29"/>
        <v>#N/A</v>
      </c>
      <c r="O200" t="e">
        <f t="shared" si="30"/>
        <v>#N/A</v>
      </c>
      <c r="P200" t="e">
        <f t="shared" si="31"/>
        <v>#N/A</v>
      </c>
      <c r="Q200" t="e">
        <f t="shared" si="32"/>
        <v>#N/A</v>
      </c>
      <c r="R200">
        <f t="shared" si="33"/>
        <v>210</v>
      </c>
      <c r="S200">
        <f t="shared" si="34"/>
        <v>4200</v>
      </c>
      <c r="T200">
        <f t="shared" si="35"/>
        <v>45.5</v>
      </c>
    </row>
    <row r="201" spans="1:20" ht="16" x14ac:dyDescent="0.2">
      <c r="A201" s="1">
        <v>200</v>
      </c>
      <c r="B201" s="1" t="s">
        <v>24</v>
      </c>
      <c r="C201" s="1" t="s">
        <v>22</v>
      </c>
      <c r="D201" s="1">
        <v>50.5</v>
      </c>
      <c r="E201" s="1">
        <v>15.9</v>
      </c>
      <c r="F201" s="1">
        <v>225</v>
      </c>
      <c r="G201" s="1">
        <v>5400</v>
      </c>
      <c r="H201" s="1" t="s">
        <v>19</v>
      </c>
      <c r="I201" s="1">
        <v>2008</v>
      </c>
      <c r="L201" t="e">
        <f t="shared" si="27"/>
        <v>#N/A</v>
      </c>
      <c r="M201" t="e">
        <f t="shared" si="28"/>
        <v>#N/A</v>
      </c>
      <c r="N201" t="e">
        <f t="shared" si="29"/>
        <v>#N/A</v>
      </c>
      <c r="O201" t="e">
        <f t="shared" si="30"/>
        <v>#N/A</v>
      </c>
      <c r="P201" t="e">
        <f t="shared" si="31"/>
        <v>#N/A</v>
      </c>
      <c r="Q201" t="e">
        <f t="shared" si="32"/>
        <v>#N/A</v>
      </c>
      <c r="R201">
        <f t="shared" si="33"/>
        <v>225</v>
      </c>
      <c r="S201">
        <f t="shared" si="34"/>
        <v>5400</v>
      </c>
      <c r="T201">
        <f t="shared" si="35"/>
        <v>50.5</v>
      </c>
    </row>
    <row r="202" spans="1:20" ht="16" x14ac:dyDescent="0.2">
      <c r="A202" s="1">
        <v>201</v>
      </c>
      <c r="B202" s="1" t="s">
        <v>24</v>
      </c>
      <c r="C202" s="1" t="s">
        <v>22</v>
      </c>
      <c r="D202" s="1">
        <v>44.9</v>
      </c>
      <c r="E202" s="1">
        <v>13.3</v>
      </c>
      <c r="F202" s="1">
        <v>213</v>
      </c>
      <c r="G202" s="1">
        <v>5100</v>
      </c>
      <c r="H202" s="1" t="s">
        <v>20</v>
      </c>
      <c r="I202" s="1">
        <v>2008</v>
      </c>
      <c r="L202" t="e">
        <f t="shared" si="27"/>
        <v>#N/A</v>
      </c>
      <c r="M202" t="e">
        <f t="shared" si="28"/>
        <v>#N/A</v>
      </c>
      <c r="N202" t="e">
        <f t="shared" si="29"/>
        <v>#N/A</v>
      </c>
      <c r="O202" t="e">
        <f t="shared" si="30"/>
        <v>#N/A</v>
      </c>
      <c r="P202" t="e">
        <f t="shared" si="31"/>
        <v>#N/A</v>
      </c>
      <c r="Q202" t="e">
        <f t="shared" si="32"/>
        <v>#N/A</v>
      </c>
      <c r="R202">
        <f t="shared" si="33"/>
        <v>213</v>
      </c>
      <c r="S202">
        <f t="shared" si="34"/>
        <v>5100</v>
      </c>
      <c r="T202">
        <f t="shared" si="35"/>
        <v>44.9</v>
      </c>
    </row>
    <row r="203" spans="1:20" ht="16" x14ac:dyDescent="0.2">
      <c r="A203" s="1">
        <v>202</v>
      </c>
      <c r="B203" s="1" t="s">
        <v>24</v>
      </c>
      <c r="C203" s="1" t="s">
        <v>22</v>
      </c>
      <c r="D203" s="1">
        <v>45.2</v>
      </c>
      <c r="E203" s="1">
        <v>15.8</v>
      </c>
      <c r="F203" s="1">
        <v>215</v>
      </c>
      <c r="G203" s="1">
        <v>5300</v>
      </c>
      <c r="H203" s="1" t="s">
        <v>19</v>
      </c>
      <c r="I203" s="1">
        <v>2008</v>
      </c>
      <c r="L203" t="e">
        <f t="shared" si="27"/>
        <v>#N/A</v>
      </c>
      <c r="M203" t="e">
        <f t="shared" si="28"/>
        <v>#N/A</v>
      </c>
      <c r="N203" t="e">
        <f t="shared" si="29"/>
        <v>#N/A</v>
      </c>
      <c r="O203" t="e">
        <f t="shared" si="30"/>
        <v>#N/A</v>
      </c>
      <c r="P203" t="e">
        <f t="shared" si="31"/>
        <v>#N/A</v>
      </c>
      <c r="Q203" t="e">
        <f t="shared" si="32"/>
        <v>#N/A</v>
      </c>
      <c r="R203">
        <f t="shared" si="33"/>
        <v>215</v>
      </c>
      <c r="S203">
        <f t="shared" si="34"/>
        <v>5300</v>
      </c>
      <c r="T203">
        <f t="shared" si="35"/>
        <v>45.2</v>
      </c>
    </row>
    <row r="204" spans="1:20" ht="16" x14ac:dyDescent="0.2">
      <c r="A204" s="1">
        <v>203</v>
      </c>
      <c r="B204" s="1" t="s">
        <v>24</v>
      </c>
      <c r="C204" s="1" t="s">
        <v>22</v>
      </c>
      <c r="D204" s="1">
        <v>46.6</v>
      </c>
      <c r="E204" s="1">
        <v>14.2</v>
      </c>
      <c r="F204" s="1">
        <v>210</v>
      </c>
      <c r="G204" s="1">
        <v>4850</v>
      </c>
      <c r="H204" s="1" t="s">
        <v>20</v>
      </c>
      <c r="I204" s="1">
        <v>2008</v>
      </c>
      <c r="L204" t="e">
        <f t="shared" si="27"/>
        <v>#N/A</v>
      </c>
      <c r="M204" t="e">
        <f t="shared" si="28"/>
        <v>#N/A</v>
      </c>
      <c r="N204" t="e">
        <f t="shared" si="29"/>
        <v>#N/A</v>
      </c>
      <c r="O204" t="e">
        <f t="shared" si="30"/>
        <v>#N/A</v>
      </c>
      <c r="P204" t="e">
        <f t="shared" si="31"/>
        <v>#N/A</v>
      </c>
      <c r="Q204" t="e">
        <f t="shared" si="32"/>
        <v>#N/A</v>
      </c>
      <c r="R204">
        <f t="shared" si="33"/>
        <v>210</v>
      </c>
      <c r="S204">
        <f t="shared" si="34"/>
        <v>4850</v>
      </c>
      <c r="T204">
        <f t="shared" si="35"/>
        <v>46.6</v>
      </c>
    </row>
    <row r="205" spans="1:20" ht="16" x14ac:dyDescent="0.2">
      <c r="A205" s="1">
        <v>204</v>
      </c>
      <c r="B205" s="1" t="s">
        <v>24</v>
      </c>
      <c r="C205" s="1" t="s">
        <v>22</v>
      </c>
      <c r="D205" s="1">
        <v>48.5</v>
      </c>
      <c r="E205" s="1">
        <v>14.1</v>
      </c>
      <c r="F205" s="1">
        <v>220</v>
      </c>
      <c r="G205" s="1">
        <v>5300</v>
      </c>
      <c r="H205" s="1" t="s">
        <v>19</v>
      </c>
      <c r="I205" s="1">
        <v>2008</v>
      </c>
      <c r="L205" t="e">
        <f t="shared" si="27"/>
        <v>#N/A</v>
      </c>
      <c r="M205" t="e">
        <f t="shared" si="28"/>
        <v>#N/A</v>
      </c>
      <c r="N205" t="e">
        <f t="shared" si="29"/>
        <v>#N/A</v>
      </c>
      <c r="O205" t="e">
        <f t="shared" si="30"/>
        <v>#N/A</v>
      </c>
      <c r="P205" t="e">
        <f t="shared" si="31"/>
        <v>#N/A</v>
      </c>
      <c r="Q205" t="e">
        <f t="shared" si="32"/>
        <v>#N/A</v>
      </c>
      <c r="R205">
        <f t="shared" si="33"/>
        <v>220</v>
      </c>
      <c r="S205">
        <f t="shared" si="34"/>
        <v>5300</v>
      </c>
      <c r="T205">
        <f t="shared" si="35"/>
        <v>48.5</v>
      </c>
    </row>
    <row r="206" spans="1:20" ht="16" x14ac:dyDescent="0.2">
      <c r="A206" s="1">
        <v>205</v>
      </c>
      <c r="B206" s="1" t="s">
        <v>24</v>
      </c>
      <c r="C206" s="1" t="s">
        <v>22</v>
      </c>
      <c r="D206" s="1">
        <v>45.1</v>
      </c>
      <c r="E206" s="1">
        <v>14.4</v>
      </c>
      <c r="F206" s="1">
        <v>210</v>
      </c>
      <c r="G206" s="1">
        <v>4400</v>
      </c>
      <c r="H206" s="1" t="s">
        <v>20</v>
      </c>
      <c r="I206" s="1">
        <v>2008</v>
      </c>
      <c r="L206" t="e">
        <f t="shared" si="27"/>
        <v>#N/A</v>
      </c>
      <c r="M206" t="e">
        <f t="shared" si="28"/>
        <v>#N/A</v>
      </c>
      <c r="N206" t="e">
        <f t="shared" si="29"/>
        <v>#N/A</v>
      </c>
      <c r="O206" t="e">
        <f t="shared" si="30"/>
        <v>#N/A</v>
      </c>
      <c r="P206" t="e">
        <f t="shared" si="31"/>
        <v>#N/A</v>
      </c>
      <c r="Q206" t="e">
        <f t="shared" si="32"/>
        <v>#N/A</v>
      </c>
      <c r="R206">
        <f t="shared" si="33"/>
        <v>210</v>
      </c>
      <c r="S206">
        <f t="shared" si="34"/>
        <v>4400</v>
      </c>
      <c r="T206">
        <f t="shared" si="35"/>
        <v>45.1</v>
      </c>
    </row>
    <row r="207" spans="1:20" ht="16" x14ac:dyDescent="0.2">
      <c r="A207" s="1">
        <v>206</v>
      </c>
      <c r="B207" s="1" t="s">
        <v>24</v>
      </c>
      <c r="C207" s="1" t="s">
        <v>22</v>
      </c>
      <c r="D207" s="1">
        <v>50.1</v>
      </c>
      <c r="E207" s="1">
        <v>15</v>
      </c>
      <c r="F207" s="1">
        <v>225</v>
      </c>
      <c r="G207" s="1">
        <v>5000</v>
      </c>
      <c r="H207" s="1" t="s">
        <v>19</v>
      </c>
      <c r="I207" s="1">
        <v>2008</v>
      </c>
      <c r="L207" t="e">
        <f t="shared" si="27"/>
        <v>#N/A</v>
      </c>
      <c r="M207" t="e">
        <f t="shared" si="28"/>
        <v>#N/A</v>
      </c>
      <c r="N207" t="e">
        <f t="shared" si="29"/>
        <v>#N/A</v>
      </c>
      <c r="O207" t="e">
        <f t="shared" si="30"/>
        <v>#N/A</v>
      </c>
      <c r="P207" t="e">
        <f t="shared" si="31"/>
        <v>#N/A</v>
      </c>
      <c r="Q207" t="e">
        <f t="shared" si="32"/>
        <v>#N/A</v>
      </c>
      <c r="R207">
        <f t="shared" si="33"/>
        <v>225</v>
      </c>
      <c r="S207">
        <f t="shared" si="34"/>
        <v>5000</v>
      </c>
      <c r="T207">
        <f t="shared" si="35"/>
        <v>50.1</v>
      </c>
    </row>
    <row r="208" spans="1:20" ht="16" x14ac:dyDescent="0.2">
      <c r="A208" s="1">
        <v>207</v>
      </c>
      <c r="B208" s="1" t="s">
        <v>24</v>
      </c>
      <c r="C208" s="1" t="s">
        <v>22</v>
      </c>
      <c r="D208" s="1">
        <v>46.5</v>
      </c>
      <c r="E208" s="1">
        <v>14.4</v>
      </c>
      <c r="F208" s="1">
        <v>217</v>
      </c>
      <c r="G208" s="1">
        <v>4900</v>
      </c>
      <c r="H208" s="1" t="s">
        <v>20</v>
      </c>
      <c r="I208" s="1">
        <v>2008</v>
      </c>
      <c r="L208" t="e">
        <f t="shared" si="27"/>
        <v>#N/A</v>
      </c>
      <c r="M208" t="e">
        <f t="shared" si="28"/>
        <v>#N/A</v>
      </c>
      <c r="N208" t="e">
        <f t="shared" si="29"/>
        <v>#N/A</v>
      </c>
      <c r="O208" t="e">
        <f t="shared" si="30"/>
        <v>#N/A</v>
      </c>
      <c r="P208" t="e">
        <f t="shared" si="31"/>
        <v>#N/A</v>
      </c>
      <c r="Q208" t="e">
        <f t="shared" si="32"/>
        <v>#N/A</v>
      </c>
      <c r="R208">
        <f t="shared" si="33"/>
        <v>217</v>
      </c>
      <c r="S208">
        <f t="shared" si="34"/>
        <v>4900</v>
      </c>
      <c r="T208">
        <f t="shared" si="35"/>
        <v>46.5</v>
      </c>
    </row>
    <row r="209" spans="1:20" ht="16" x14ac:dyDescent="0.2">
      <c r="A209" s="1">
        <v>208</v>
      </c>
      <c r="B209" s="1" t="s">
        <v>24</v>
      </c>
      <c r="C209" s="1" t="s">
        <v>22</v>
      </c>
      <c r="D209" s="1">
        <v>45</v>
      </c>
      <c r="E209" s="1">
        <v>15.4</v>
      </c>
      <c r="F209" s="1">
        <v>220</v>
      </c>
      <c r="G209" s="1">
        <v>5050</v>
      </c>
      <c r="H209" s="1" t="s">
        <v>19</v>
      </c>
      <c r="I209" s="1">
        <v>2008</v>
      </c>
      <c r="L209" t="e">
        <f t="shared" si="27"/>
        <v>#N/A</v>
      </c>
      <c r="M209" t="e">
        <f t="shared" si="28"/>
        <v>#N/A</v>
      </c>
      <c r="N209" t="e">
        <f t="shared" si="29"/>
        <v>#N/A</v>
      </c>
      <c r="O209" t="e">
        <f t="shared" si="30"/>
        <v>#N/A</v>
      </c>
      <c r="P209" t="e">
        <f t="shared" si="31"/>
        <v>#N/A</v>
      </c>
      <c r="Q209" t="e">
        <f t="shared" si="32"/>
        <v>#N/A</v>
      </c>
      <c r="R209">
        <f t="shared" si="33"/>
        <v>220</v>
      </c>
      <c r="S209">
        <f t="shared" si="34"/>
        <v>5050</v>
      </c>
      <c r="T209">
        <f t="shared" si="35"/>
        <v>45</v>
      </c>
    </row>
    <row r="210" spans="1:20" ht="16" x14ac:dyDescent="0.2">
      <c r="A210" s="1">
        <v>209</v>
      </c>
      <c r="B210" s="1" t="s">
        <v>24</v>
      </c>
      <c r="C210" s="1" t="s">
        <v>22</v>
      </c>
      <c r="D210" s="1">
        <v>43.8</v>
      </c>
      <c r="E210" s="1">
        <v>13.9</v>
      </c>
      <c r="F210" s="1">
        <v>208</v>
      </c>
      <c r="G210" s="1">
        <v>4300</v>
      </c>
      <c r="H210" s="1" t="s">
        <v>20</v>
      </c>
      <c r="I210" s="1">
        <v>2008</v>
      </c>
      <c r="L210" t="e">
        <f t="shared" si="27"/>
        <v>#N/A</v>
      </c>
      <c r="M210" t="e">
        <f t="shared" si="28"/>
        <v>#N/A</v>
      </c>
      <c r="N210" t="e">
        <f t="shared" si="29"/>
        <v>#N/A</v>
      </c>
      <c r="O210" t="e">
        <f t="shared" si="30"/>
        <v>#N/A</v>
      </c>
      <c r="P210" t="e">
        <f t="shared" si="31"/>
        <v>#N/A</v>
      </c>
      <c r="Q210" t="e">
        <f t="shared" si="32"/>
        <v>#N/A</v>
      </c>
      <c r="R210">
        <f t="shared" si="33"/>
        <v>208</v>
      </c>
      <c r="S210">
        <f t="shared" si="34"/>
        <v>4300</v>
      </c>
      <c r="T210">
        <f t="shared" si="35"/>
        <v>43.8</v>
      </c>
    </row>
    <row r="211" spans="1:20" ht="16" x14ac:dyDescent="0.2">
      <c r="A211" s="1">
        <v>210</v>
      </c>
      <c r="B211" s="1" t="s">
        <v>24</v>
      </c>
      <c r="C211" s="1" t="s">
        <v>22</v>
      </c>
      <c r="D211" s="1">
        <v>45.5</v>
      </c>
      <c r="E211" s="1">
        <v>15</v>
      </c>
      <c r="F211" s="1">
        <v>220</v>
      </c>
      <c r="G211" s="1">
        <v>5000</v>
      </c>
      <c r="H211" s="1" t="s">
        <v>19</v>
      </c>
      <c r="I211" s="1">
        <v>2008</v>
      </c>
      <c r="L211" t="e">
        <f t="shared" si="27"/>
        <v>#N/A</v>
      </c>
      <c r="M211" t="e">
        <f t="shared" si="28"/>
        <v>#N/A</v>
      </c>
      <c r="N211" t="e">
        <f t="shared" si="29"/>
        <v>#N/A</v>
      </c>
      <c r="O211" t="e">
        <f t="shared" si="30"/>
        <v>#N/A</v>
      </c>
      <c r="P211" t="e">
        <f t="shared" si="31"/>
        <v>#N/A</v>
      </c>
      <c r="Q211" t="e">
        <f t="shared" si="32"/>
        <v>#N/A</v>
      </c>
      <c r="R211">
        <f t="shared" si="33"/>
        <v>220</v>
      </c>
      <c r="S211">
        <f t="shared" si="34"/>
        <v>5000</v>
      </c>
      <c r="T211">
        <f t="shared" si="35"/>
        <v>45.5</v>
      </c>
    </row>
    <row r="212" spans="1:20" ht="16" x14ac:dyDescent="0.2">
      <c r="A212" s="1">
        <v>211</v>
      </c>
      <c r="B212" s="1" t="s">
        <v>24</v>
      </c>
      <c r="C212" s="1" t="s">
        <v>22</v>
      </c>
      <c r="D212" s="1">
        <v>43.2</v>
      </c>
      <c r="E212" s="1">
        <v>14.5</v>
      </c>
      <c r="F212" s="1">
        <v>208</v>
      </c>
      <c r="G212" s="1">
        <v>4450</v>
      </c>
      <c r="H212" s="1" t="s">
        <v>20</v>
      </c>
      <c r="I212" s="1">
        <v>2008</v>
      </c>
      <c r="L212" t="e">
        <f t="shared" si="27"/>
        <v>#N/A</v>
      </c>
      <c r="M212" t="e">
        <f t="shared" si="28"/>
        <v>#N/A</v>
      </c>
      <c r="N212" t="e">
        <f t="shared" si="29"/>
        <v>#N/A</v>
      </c>
      <c r="O212" t="e">
        <f t="shared" si="30"/>
        <v>#N/A</v>
      </c>
      <c r="P212" t="e">
        <f t="shared" si="31"/>
        <v>#N/A</v>
      </c>
      <c r="Q212" t="e">
        <f t="shared" si="32"/>
        <v>#N/A</v>
      </c>
      <c r="R212">
        <f t="shared" si="33"/>
        <v>208</v>
      </c>
      <c r="S212">
        <f t="shared" si="34"/>
        <v>4450</v>
      </c>
      <c r="T212">
        <f t="shared" si="35"/>
        <v>43.2</v>
      </c>
    </row>
    <row r="213" spans="1:20" ht="16" x14ac:dyDescent="0.2">
      <c r="A213" s="1">
        <v>212</v>
      </c>
      <c r="B213" s="1" t="s">
        <v>24</v>
      </c>
      <c r="C213" s="1" t="s">
        <v>22</v>
      </c>
      <c r="D213" s="1">
        <v>50.4</v>
      </c>
      <c r="E213" s="1">
        <v>15.3</v>
      </c>
      <c r="F213" s="1">
        <v>224</v>
      </c>
      <c r="G213" s="1">
        <v>5550</v>
      </c>
      <c r="H213" s="1" t="s">
        <v>19</v>
      </c>
      <c r="I213" s="1">
        <v>2008</v>
      </c>
      <c r="L213" t="e">
        <f t="shared" si="27"/>
        <v>#N/A</v>
      </c>
      <c r="M213" t="e">
        <f t="shared" si="28"/>
        <v>#N/A</v>
      </c>
      <c r="N213" t="e">
        <f t="shared" si="29"/>
        <v>#N/A</v>
      </c>
      <c r="O213" t="e">
        <f t="shared" si="30"/>
        <v>#N/A</v>
      </c>
      <c r="P213" t="e">
        <f t="shared" si="31"/>
        <v>#N/A</v>
      </c>
      <c r="Q213" t="e">
        <f t="shared" si="32"/>
        <v>#N/A</v>
      </c>
      <c r="R213">
        <f t="shared" si="33"/>
        <v>224</v>
      </c>
      <c r="S213">
        <f t="shared" si="34"/>
        <v>5550</v>
      </c>
      <c r="T213">
        <f t="shared" si="35"/>
        <v>50.4</v>
      </c>
    </row>
    <row r="214" spans="1:20" ht="16" x14ac:dyDescent="0.2">
      <c r="A214" s="1">
        <v>213</v>
      </c>
      <c r="B214" s="1" t="s">
        <v>24</v>
      </c>
      <c r="C214" s="1" t="s">
        <v>22</v>
      </c>
      <c r="D214" s="1">
        <v>45.3</v>
      </c>
      <c r="E214" s="1">
        <v>13.8</v>
      </c>
      <c r="F214" s="1">
        <v>208</v>
      </c>
      <c r="G214" s="1">
        <v>4200</v>
      </c>
      <c r="H214" s="1" t="s">
        <v>20</v>
      </c>
      <c r="I214" s="1">
        <v>2008</v>
      </c>
      <c r="L214" t="e">
        <f t="shared" si="27"/>
        <v>#N/A</v>
      </c>
      <c r="M214" t="e">
        <f t="shared" si="28"/>
        <v>#N/A</v>
      </c>
      <c r="N214" t="e">
        <f t="shared" si="29"/>
        <v>#N/A</v>
      </c>
      <c r="O214" t="e">
        <f t="shared" si="30"/>
        <v>#N/A</v>
      </c>
      <c r="P214" t="e">
        <f t="shared" si="31"/>
        <v>#N/A</v>
      </c>
      <c r="Q214" t="e">
        <f t="shared" si="32"/>
        <v>#N/A</v>
      </c>
      <c r="R214">
        <f t="shared" si="33"/>
        <v>208</v>
      </c>
      <c r="S214">
        <f t="shared" si="34"/>
        <v>4200</v>
      </c>
      <c r="T214">
        <f t="shared" si="35"/>
        <v>45.3</v>
      </c>
    </row>
    <row r="215" spans="1:20" ht="16" x14ac:dyDescent="0.2">
      <c r="A215" s="1">
        <v>214</v>
      </c>
      <c r="B215" s="1" t="s">
        <v>24</v>
      </c>
      <c r="C215" s="1" t="s">
        <v>22</v>
      </c>
      <c r="D215" s="1">
        <v>46.2</v>
      </c>
      <c r="E215" s="1">
        <v>14.9</v>
      </c>
      <c r="F215" s="1">
        <v>221</v>
      </c>
      <c r="G215" s="1">
        <v>5300</v>
      </c>
      <c r="H215" s="1" t="s">
        <v>19</v>
      </c>
      <c r="I215" s="1">
        <v>2008</v>
      </c>
      <c r="L215" t="e">
        <f t="shared" si="27"/>
        <v>#N/A</v>
      </c>
      <c r="M215" t="e">
        <f t="shared" si="28"/>
        <v>#N/A</v>
      </c>
      <c r="N215" t="e">
        <f t="shared" si="29"/>
        <v>#N/A</v>
      </c>
      <c r="O215" t="e">
        <f t="shared" si="30"/>
        <v>#N/A</v>
      </c>
      <c r="P215" t="e">
        <f t="shared" si="31"/>
        <v>#N/A</v>
      </c>
      <c r="Q215" t="e">
        <f t="shared" si="32"/>
        <v>#N/A</v>
      </c>
      <c r="R215">
        <f t="shared" si="33"/>
        <v>221</v>
      </c>
      <c r="S215">
        <f t="shared" si="34"/>
        <v>5300</v>
      </c>
      <c r="T215">
        <f t="shared" si="35"/>
        <v>46.2</v>
      </c>
    </row>
    <row r="216" spans="1:20" ht="16" x14ac:dyDescent="0.2">
      <c r="A216" s="1">
        <v>215</v>
      </c>
      <c r="B216" s="1" t="s">
        <v>24</v>
      </c>
      <c r="C216" s="1" t="s">
        <v>22</v>
      </c>
      <c r="D216" s="1">
        <v>45.7</v>
      </c>
      <c r="E216" s="1">
        <v>13.9</v>
      </c>
      <c r="F216" s="1">
        <v>214</v>
      </c>
      <c r="G216" s="1">
        <v>4400</v>
      </c>
      <c r="H216" s="1" t="s">
        <v>20</v>
      </c>
      <c r="I216" s="1">
        <v>2008</v>
      </c>
      <c r="L216" t="e">
        <f t="shared" si="27"/>
        <v>#N/A</v>
      </c>
      <c r="M216" t="e">
        <f t="shared" si="28"/>
        <v>#N/A</v>
      </c>
      <c r="N216" t="e">
        <f t="shared" si="29"/>
        <v>#N/A</v>
      </c>
      <c r="O216" t="e">
        <f t="shared" si="30"/>
        <v>#N/A</v>
      </c>
      <c r="P216" t="e">
        <f t="shared" si="31"/>
        <v>#N/A</v>
      </c>
      <c r="Q216" t="e">
        <f t="shared" si="32"/>
        <v>#N/A</v>
      </c>
      <c r="R216">
        <f t="shared" si="33"/>
        <v>214</v>
      </c>
      <c r="S216">
        <f t="shared" si="34"/>
        <v>4400</v>
      </c>
      <c r="T216">
        <f t="shared" si="35"/>
        <v>45.7</v>
      </c>
    </row>
    <row r="217" spans="1:20" ht="16" x14ac:dyDescent="0.2">
      <c r="A217" s="1">
        <v>216</v>
      </c>
      <c r="B217" s="1" t="s">
        <v>24</v>
      </c>
      <c r="C217" s="1" t="s">
        <v>22</v>
      </c>
      <c r="D217" s="1">
        <v>54.3</v>
      </c>
      <c r="E217" s="1">
        <v>15.7</v>
      </c>
      <c r="F217" s="1">
        <v>231</v>
      </c>
      <c r="G217" s="1">
        <v>5650</v>
      </c>
      <c r="H217" s="1" t="s">
        <v>19</v>
      </c>
      <c r="I217" s="1">
        <v>2008</v>
      </c>
      <c r="L217" t="e">
        <f t="shared" si="27"/>
        <v>#N/A</v>
      </c>
      <c r="M217" t="e">
        <f t="shared" si="28"/>
        <v>#N/A</v>
      </c>
      <c r="N217" t="e">
        <f t="shared" si="29"/>
        <v>#N/A</v>
      </c>
      <c r="O217" t="e">
        <f t="shared" si="30"/>
        <v>#N/A</v>
      </c>
      <c r="P217" t="e">
        <f t="shared" si="31"/>
        <v>#N/A</v>
      </c>
      <c r="Q217" t="e">
        <f t="shared" si="32"/>
        <v>#N/A</v>
      </c>
      <c r="R217">
        <f t="shared" si="33"/>
        <v>231</v>
      </c>
      <c r="S217">
        <f t="shared" si="34"/>
        <v>5650</v>
      </c>
      <c r="T217">
        <f t="shared" si="35"/>
        <v>54.3</v>
      </c>
    </row>
    <row r="218" spans="1:20" ht="16" x14ac:dyDescent="0.2">
      <c r="A218" s="1">
        <v>217</v>
      </c>
      <c r="B218" s="1" t="s">
        <v>24</v>
      </c>
      <c r="C218" s="1" t="s">
        <v>22</v>
      </c>
      <c r="D218" s="1">
        <v>45.8</v>
      </c>
      <c r="E218" s="1">
        <v>14.2</v>
      </c>
      <c r="F218" s="1">
        <v>219</v>
      </c>
      <c r="G218" s="1">
        <v>4700</v>
      </c>
      <c r="H218" s="1" t="s">
        <v>20</v>
      </c>
      <c r="I218" s="1">
        <v>2008</v>
      </c>
      <c r="L218" t="e">
        <f t="shared" si="27"/>
        <v>#N/A</v>
      </c>
      <c r="M218" t="e">
        <f t="shared" si="28"/>
        <v>#N/A</v>
      </c>
      <c r="N218" t="e">
        <f t="shared" si="29"/>
        <v>#N/A</v>
      </c>
      <c r="O218" t="e">
        <f t="shared" si="30"/>
        <v>#N/A</v>
      </c>
      <c r="P218" t="e">
        <f t="shared" si="31"/>
        <v>#N/A</v>
      </c>
      <c r="Q218" t="e">
        <f t="shared" si="32"/>
        <v>#N/A</v>
      </c>
      <c r="R218">
        <f t="shared" si="33"/>
        <v>219</v>
      </c>
      <c r="S218">
        <f t="shared" si="34"/>
        <v>4700</v>
      </c>
      <c r="T218">
        <f t="shared" si="35"/>
        <v>45.8</v>
      </c>
    </row>
    <row r="219" spans="1:20" ht="16" x14ac:dyDescent="0.2">
      <c r="A219" s="1">
        <v>218</v>
      </c>
      <c r="B219" s="1" t="s">
        <v>24</v>
      </c>
      <c r="C219" s="1" t="s">
        <v>22</v>
      </c>
      <c r="D219" s="1">
        <v>49.8</v>
      </c>
      <c r="E219" s="1">
        <v>16.8</v>
      </c>
      <c r="F219" s="1">
        <v>230</v>
      </c>
      <c r="G219" s="1">
        <v>5700</v>
      </c>
      <c r="H219" s="1" t="s">
        <v>19</v>
      </c>
      <c r="I219" s="1">
        <v>2008</v>
      </c>
      <c r="L219" t="e">
        <f t="shared" si="27"/>
        <v>#N/A</v>
      </c>
      <c r="M219" t="e">
        <f t="shared" si="28"/>
        <v>#N/A</v>
      </c>
      <c r="N219" t="e">
        <f t="shared" si="29"/>
        <v>#N/A</v>
      </c>
      <c r="O219" t="e">
        <f t="shared" si="30"/>
        <v>#N/A</v>
      </c>
      <c r="P219" t="e">
        <f t="shared" si="31"/>
        <v>#N/A</v>
      </c>
      <c r="Q219" t="e">
        <f t="shared" si="32"/>
        <v>#N/A</v>
      </c>
      <c r="R219">
        <f t="shared" si="33"/>
        <v>230</v>
      </c>
      <c r="S219">
        <f t="shared" si="34"/>
        <v>5700</v>
      </c>
      <c r="T219">
        <f t="shared" si="35"/>
        <v>49.8</v>
      </c>
    </row>
    <row r="220" spans="1:20" ht="16" x14ac:dyDescent="0.2">
      <c r="A220" s="1">
        <v>219</v>
      </c>
      <c r="B220" s="1" t="s">
        <v>24</v>
      </c>
      <c r="C220" s="1" t="s">
        <v>22</v>
      </c>
      <c r="D220" s="1">
        <v>46.2</v>
      </c>
      <c r="E220" s="1">
        <v>14.4</v>
      </c>
      <c r="F220" s="1">
        <v>214</v>
      </c>
      <c r="G220" s="1">
        <v>4650</v>
      </c>
      <c r="H220" s="1" t="s">
        <v>21</v>
      </c>
      <c r="I220" s="1">
        <v>2008</v>
      </c>
      <c r="L220" t="e">
        <f t="shared" si="27"/>
        <v>#N/A</v>
      </c>
      <c r="M220" t="e">
        <f t="shared" si="28"/>
        <v>#N/A</v>
      </c>
      <c r="N220" t="e">
        <f t="shared" si="29"/>
        <v>#N/A</v>
      </c>
      <c r="O220" t="e">
        <f t="shared" si="30"/>
        <v>#N/A</v>
      </c>
      <c r="P220" t="e">
        <f t="shared" si="31"/>
        <v>#N/A</v>
      </c>
      <c r="Q220" t="e">
        <f t="shared" si="32"/>
        <v>#N/A</v>
      </c>
      <c r="R220">
        <f t="shared" si="33"/>
        <v>214</v>
      </c>
      <c r="S220">
        <f t="shared" si="34"/>
        <v>4650</v>
      </c>
      <c r="T220">
        <f t="shared" si="35"/>
        <v>46.2</v>
      </c>
    </row>
    <row r="221" spans="1:20" ht="16" x14ac:dyDescent="0.2">
      <c r="A221" s="1">
        <v>220</v>
      </c>
      <c r="B221" s="1" t="s">
        <v>24</v>
      </c>
      <c r="C221" s="1" t="s">
        <v>22</v>
      </c>
      <c r="D221" s="1">
        <v>49.5</v>
      </c>
      <c r="E221" s="1">
        <v>16.2</v>
      </c>
      <c r="F221" s="1">
        <v>229</v>
      </c>
      <c r="G221" s="1">
        <v>5800</v>
      </c>
      <c r="H221" s="1" t="s">
        <v>19</v>
      </c>
      <c r="I221" s="1">
        <v>2008</v>
      </c>
      <c r="L221" t="e">
        <f t="shared" si="27"/>
        <v>#N/A</v>
      </c>
      <c r="M221" t="e">
        <f t="shared" si="28"/>
        <v>#N/A</v>
      </c>
      <c r="N221" t="e">
        <f t="shared" si="29"/>
        <v>#N/A</v>
      </c>
      <c r="O221" t="e">
        <f t="shared" si="30"/>
        <v>#N/A</v>
      </c>
      <c r="P221" t="e">
        <f t="shared" si="31"/>
        <v>#N/A</v>
      </c>
      <c r="Q221" t="e">
        <f t="shared" si="32"/>
        <v>#N/A</v>
      </c>
      <c r="R221">
        <f t="shared" si="33"/>
        <v>229</v>
      </c>
      <c r="S221">
        <f t="shared" si="34"/>
        <v>5800</v>
      </c>
      <c r="T221">
        <f t="shared" si="35"/>
        <v>49.5</v>
      </c>
    </row>
    <row r="222" spans="1:20" ht="16" x14ac:dyDescent="0.2">
      <c r="A222" s="1">
        <v>221</v>
      </c>
      <c r="B222" s="1" t="s">
        <v>24</v>
      </c>
      <c r="C222" s="1" t="s">
        <v>22</v>
      </c>
      <c r="D222" s="1">
        <v>43.5</v>
      </c>
      <c r="E222" s="1">
        <v>14.2</v>
      </c>
      <c r="F222" s="1">
        <v>220</v>
      </c>
      <c r="G222" s="1">
        <v>4700</v>
      </c>
      <c r="H222" s="1" t="s">
        <v>20</v>
      </c>
      <c r="I222" s="1">
        <v>2008</v>
      </c>
      <c r="L222" t="e">
        <f t="shared" si="27"/>
        <v>#N/A</v>
      </c>
      <c r="M222" t="e">
        <f t="shared" si="28"/>
        <v>#N/A</v>
      </c>
      <c r="N222" t="e">
        <f t="shared" si="29"/>
        <v>#N/A</v>
      </c>
      <c r="O222" t="e">
        <f t="shared" si="30"/>
        <v>#N/A</v>
      </c>
      <c r="P222" t="e">
        <f t="shared" si="31"/>
        <v>#N/A</v>
      </c>
      <c r="Q222" t="e">
        <f t="shared" si="32"/>
        <v>#N/A</v>
      </c>
      <c r="R222">
        <f t="shared" si="33"/>
        <v>220</v>
      </c>
      <c r="S222">
        <f t="shared" si="34"/>
        <v>4700</v>
      </c>
      <c r="T222">
        <f t="shared" si="35"/>
        <v>43.5</v>
      </c>
    </row>
    <row r="223" spans="1:20" ht="16" x14ac:dyDescent="0.2">
      <c r="A223" s="1">
        <v>222</v>
      </c>
      <c r="B223" s="1" t="s">
        <v>24</v>
      </c>
      <c r="C223" s="1" t="s">
        <v>22</v>
      </c>
      <c r="D223" s="1">
        <v>50.7</v>
      </c>
      <c r="E223" s="1">
        <v>15</v>
      </c>
      <c r="F223" s="1">
        <v>223</v>
      </c>
      <c r="G223" s="1">
        <v>5550</v>
      </c>
      <c r="H223" s="1" t="s">
        <v>19</v>
      </c>
      <c r="I223" s="1">
        <v>2008</v>
      </c>
      <c r="L223" t="e">
        <f t="shared" si="27"/>
        <v>#N/A</v>
      </c>
      <c r="M223" t="e">
        <f t="shared" si="28"/>
        <v>#N/A</v>
      </c>
      <c r="N223" t="e">
        <f t="shared" si="29"/>
        <v>#N/A</v>
      </c>
      <c r="O223" t="e">
        <f t="shared" si="30"/>
        <v>#N/A</v>
      </c>
      <c r="P223" t="e">
        <f t="shared" si="31"/>
        <v>#N/A</v>
      </c>
      <c r="Q223" t="e">
        <f t="shared" si="32"/>
        <v>#N/A</v>
      </c>
      <c r="R223">
        <f t="shared" si="33"/>
        <v>223</v>
      </c>
      <c r="S223">
        <f t="shared" si="34"/>
        <v>5550</v>
      </c>
      <c r="T223">
        <f t="shared" si="35"/>
        <v>50.7</v>
      </c>
    </row>
    <row r="224" spans="1:20" ht="16" x14ac:dyDescent="0.2">
      <c r="A224" s="1">
        <v>223</v>
      </c>
      <c r="B224" s="1" t="s">
        <v>24</v>
      </c>
      <c r="C224" s="1" t="s">
        <v>22</v>
      </c>
      <c r="D224" s="1">
        <v>47.7</v>
      </c>
      <c r="E224" s="1">
        <v>15</v>
      </c>
      <c r="F224" s="1">
        <v>216</v>
      </c>
      <c r="G224" s="1">
        <v>4750</v>
      </c>
      <c r="H224" s="1" t="s">
        <v>20</v>
      </c>
      <c r="I224" s="1">
        <v>2008</v>
      </c>
      <c r="L224" t="e">
        <f t="shared" si="27"/>
        <v>#N/A</v>
      </c>
      <c r="M224" t="e">
        <f t="shared" si="28"/>
        <v>#N/A</v>
      </c>
      <c r="N224" t="e">
        <f t="shared" si="29"/>
        <v>#N/A</v>
      </c>
      <c r="O224" t="e">
        <f t="shared" si="30"/>
        <v>#N/A</v>
      </c>
      <c r="P224" t="e">
        <f t="shared" si="31"/>
        <v>#N/A</v>
      </c>
      <c r="Q224" t="e">
        <f t="shared" si="32"/>
        <v>#N/A</v>
      </c>
      <c r="R224">
        <f t="shared" si="33"/>
        <v>216</v>
      </c>
      <c r="S224">
        <f t="shared" si="34"/>
        <v>4750</v>
      </c>
      <c r="T224">
        <f t="shared" si="35"/>
        <v>47.7</v>
      </c>
    </row>
    <row r="225" spans="1:20" ht="16" x14ac:dyDescent="0.2">
      <c r="A225" s="1">
        <v>224</v>
      </c>
      <c r="B225" s="1" t="s">
        <v>24</v>
      </c>
      <c r="C225" s="1" t="s">
        <v>22</v>
      </c>
      <c r="D225" s="1">
        <v>46.4</v>
      </c>
      <c r="E225" s="1">
        <v>15.6</v>
      </c>
      <c r="F225" s="1">
        <v>221</v>
      </c>
      <c r="G225" s="1">
        <v>5000</v>
      </c>
      <c r="H225" s="1" t="s">
        <v>19</v>
      </c>
      <c r="I225" s="1">
        <v>2008</v>
      </c>
      <c r="L225" t="e">
        <f t="shared" si="27"/>
        <v>#N/A</v>
      </c>
      <c r="M225" t="e">
        <f t="shared" si="28"/>
        <v>#N/A</v>
      </c>
      <c r="N225" t="e">
        <f t="shared" si="29"/>
        <v>#N/A</v>
      </c>
      <c r="O225" t="e">
        <f t="shared" si="30"/>
        <v>#N/A</v>
      </c>
      <c r="P225" t="e">
        <f t="shared" si="31"/>
        <v>#N/A</v>
      </c>
      <c r="Q225" t="e">
        <f t="shared" si="32"/>
        <v>#N/A</v>
      </c>
      <c r="R225">
        <f t="shared" si="33"/>
        <v>221</v>
      </c>
      <c r="S225">
        <f t="shared" si="34"/>
        <v>5000</v>
      </c>
      <c r="T225">
        <f t="shared" si="35"/>
        <v>46.4</v>
      </c>
    </row>
    <row r="226" spans="1:20" ht="16" x14ac:dyDescent="0.2">
      <c r="A226" s="1">
        <v>225</v>
      </c>
      <c r="B226" s="1" t="s">
        <v>24</v>
      </c>
      <c r="C226" s="1" t="s">
        <v>22</v>
      </c>
      <c r="D226" s="1">
        <v>48.2</v>
      </c>
      <c r="E226" s="1">
        <v>15.6</v>
      </c>
      <c r="F226" s="1">
        <v>221</v>
      </c>
      <c r="G226" s="1">
        <v>5100</v>
      </c>
      <c r="H226" s="1" t="s">
        <v>19</v>
      </c>
      <c r="I226" s="1">
        <v>2008</v>
      </c>
      <c r="L226" t="e">
        <f t="shared" si="27"/>
        <v>#N/A</v>
      </c>
      <c r="M226" t="e">
        <f t="shared" si="28"/>
        <v>#N/A</v>
      </c>
      <c r="N226" t="e">
        <f t="shared" si="29"/>
        <v>#N/A</v>
      </c>
      <c r="O226" t="e">
        <f t="shared" si="30"/>
        <v>#N/A</v>
      </c>
      <c r="P226" t="e">
        <f t="shared" si="31"/>
        <v>#N/A</v>
      </c>
      <c r="Q226" t="e">
        <f t="shared" si="32"/>
        <v>#N/A</v>
      </c>
      <c r="R226">
        <f t="shared" si="33"/>
        <v>221</v>
      </c>
      <c r="S226">
        <f t="shared" si="34"/>
        <v>5100</v>
      </c>
      <c r="T226">
        <f t="shared" si="35"/>
        <v>48.2</v>
      </c>
    </row>
    <row r="227" spans="1:20" ht="16" x14ac:dyDescent="0.2">
      <c r="A227" s="1">
        <v>226</v>
      </c>
      <c r="B227" s="1" t="s">
        <v>24</v>
      </c>
      <c r="C227" s="1" t="s">
        <v>22</v>
      </c>
      <c r="D227" s="1">
        <v>46.5</v>
      </c>
      <c r="E227" s="1">
        <v>14.8</v>
      </c>
      <c r="F227" s="1">
        <v>217</v>
      </c>
      <c r="G227" s="1">
        <v>5200</v>
      </c>
      <c r="H227" s="1" t="s">
        <v>20</v>
      </c>
      <c r="I227" s="1">
        <v>2008</v>
      </c>
      <c r="L227" t="e">
        <f t="shared" si="27"/>
        <v>#N/A</v>
      </c>
      <c r="M227" t="e">
        <f t="shared" si="28"/>
        <v>#N/A</v>
      </c>
      <c r="N227" t="e">
        <f t="shared" si="29"/>
        <v>#N/A</v>
      </c>
      <c r="O227" t="e">
        <f t="shared" si="30"/>
        <v>#N/A</v>
      </c>
      <c r="P227" t="e">
        <f t="shared" si="31"/>
        <v>#N/A</v>
      </c>
      <c r="Q227" t="e">
        <f t="shared" si="32"/>
        <v>#N/A</v>
      </c>
      <c r="R227">
        <f t="shared" si="33"/>
        <v>217</v>
      </c>
      <c r="S227">
        <f t="shared" si="34"/>
        <v>5200</v>
      </c>
      <c r="T227">
        <f t="shared" si="35"/>
        <v>46.5</v>
      </c>
    </row>
    <row r="228" spans="1:20" ht="16" x14ac:dyDescent="0.2">
      <c r="A228" s="1">
        <v>227</v>
      </c>
      <c r="B228" s="1" t="s">
        <v>24</v>
      </c>
      <c r="C228" s="1" t="s">
        <v>22</v>
      </c>
      <c r="D228" s="1">
        <v>46.4</v>
      </c>
      <c r="E228" s="1">
        <v>15</v>
      </c>
      <c r="F228" s="1">
        <v>216</v>
      </c>
      <c r="G228" s="1">
        <v>4700</v>
      </c>
      <c r="H228" s="1" t="s">
        <v>20</v>
      </c>
      <c r="I228" s="1">
        <v>2008</v>
      </c>
      <c r="L228" t="e">
        <f t="shared" si="27"/>
        <v>#N/A</v>
      </c>
      <c r="M228" t="e">
        <f t="shared" si="28"/>
        <v>#N/A</v>
      </c>
      <c r="N228" t="e">
        <f t="shared" si="29"/>
        <v>#N/A</v>
      </c>
      <c r="O228" t="e">
        <f t="shared" si="30"/>
        <v>#N/A</v>
      </c>
      <c r="P228" t="e">
        <f t="shared" si="31"/>
        <v>#N/A</v>
      </c>
      <c r="Q228" t="e">
        <f t="shared" si="32"/>
        <v>#N/A</v>
      </c>
      <c r="R228">
        <f t="shared" si="33"/>
        <v>216</v>
      </c>
      <c r="S228">
        <f t="shared" si="34"/>
        <v>4700</v>
      </c>
      <c r="T228">
        <f t="shared" si="35"/>
        <v>46.4</v>
      </c>
    </row>
    <row r="229" spans="1:20" ht="16" x14ac:dyDescent="0.2">
      <c r="A229" s="1">
        <v>228</v>
      </c>
      <c r="B229" s="1" t="s">
        <v>24</v>
      </c>
      <c r="C229" s="1" t="s">
        <v>22</v>
      </c>
      <c r="D229" s="1">
        <v>48.6</v>
      </c>
      <c r="E229" s="1">
        <v>16</v>
      </c>
      <c r="F229" s="1">
        <v>230</v>
      </c>
      <c r="G229" s="1">
        <v>5800</v>
      </c>
      <c r="H229" s="1" t="s">
        <v>19</v>
      </c>
      <c r="I229" s="1">
        <v>2008</v>
      </c>
      <c r="L229" t="e">
        <f t="shared" si="27"/>
        <v>#N/A</v>
      </c>
      <c r="M229" t="e">
        <f t="shared" si="28"/>
        <v>#N/A</v>
      </c>
      <c r="N229" t="e">
        <f t="shared" si="29"/>
        <v>#N/A</v>
      </c>
      <c r="O229" t="e">
        <f t="shared" si="30"/>
        <v>#N/A</v>
      </c>
      <c r="P229" t="e">
        <f t="shared" si="31"/>
        <v>#N/A</v>
      </c>
      <c r="Q229" t="e">
        <f t="shared" si="32"/>
        <v>#N/A</v>
      </c>
      <c r="R229">
        <f t="shared" si="33"/>
        <v>230</v>
      </c>
      <c r="S229">
        <f t="shared" si="34"/>
        <v>5800</v>
      </c>
      <c r="T229">
        <f t="shared" si="35"/>
        <v>48.6</v>
      </c>
    </row>
    <row r="230" spans="1:20" ht="16" x14ac:dyDescent="0.2">
      <c r="A230" s="1">
        <v>229</v>
      </c>
      <c r="B230" s="1" t="s">
        <v>24</v>
      </c>
      <c r="C230" s="1" t="s">
        <v>22</v>
      </c>
      <c r="D230" s="1">
        <v>47.5</v>
      </c>
      <c r="E230" s="1">
        <v>14.2</v>
      </c>
      <c r="F230" s="1">
        <v>209</v>
      </c>
      <c r="G230" s="1">
        <v>4600</v>
      </c>
      <c r="H230" s="1" t="s">
        <v>20</v>
      </c>
      <c r="I230" s="1">
        <v>2008</v>
      </c>
      <c r="L230" t="e">
        <f t="shared" si="27"/>
        <v>#N/A</v>
      </c>
      <c r="M230" t="e">
        <f t="shared" si="28"/>
        <v>#N/A</v>
      </c>
      <c r="N230" t="e">
        <f t="shared" si="29"/>
        <v>#N/A</v>
      </c>
      <c r="O230" t="e">
        <f t="shared" si="30"/>
        <v>#N/A</v>
      </c>
      <c r="P230" t="e">
        <f t="shared" si="31"/>
        <v>#N/A</v>
      </c>
      <c r="Q230" t="e">
        <f t="shared" si="32"/>
        <v>#N/A</v>
      </c>
      <c r="R230">
        <f t="shared" si="33"/>
        <v>209</v>
      </c>
      <c r="S230">
        <f t="shared" si="34"/>
        <v>4600</v>
      </c>
      <c r="T230">
        <f t="shared" si="35"/>
        <v>47.5</v>
      </c>
    </row>
    <row r="231" spans="1:20" ht="16" x14ac:dyDescent="0.2">
      <c r="A231" s="1">
        <v>230</v>
      </c>
      <c r="B231" s="1" t="s">
        <v>24</v>
      </c>
      <c r="C231" s="1" t="s">
        <v>22</v>
      </c>
      <c r="D231" s="1">
        <v>51.1</v>
      </c>
      <c r="E231" s="1">
        <v>16.3</v>
      </c>
      <c r="F231" s="1">
        <v>220</v>
      </c>
      <c r="G231" s="1">
        <v>6000</v>
      </c>
      <c r="H231" s="1" t="s">
        <v>19</v>
      </c>
      <c r="I231" s="1">
        <v>2008</v>
      </c>
      <c r="L231" t="e">
        <f t="shared" si="27"/>
        <v>#N/A</v>
      </c>
      <c r="M231" t="e">
        <f t="shared" si="28"/>
        <v>#N/A</v>
      </c>
      <c r="N231" t="e">
        <f t="shared" si="29"/>
        <v>#N/A</v>
      </c>
      <c r="O231" t="e">
        <f t="shared" si="30"/>
        <v>#N/A</v>
      </c>
      <c r="P231" t="e">
        <f t="shared" si="31"/>
        <v>#N/A</v>
      </c>
      <c r="Q231" t="e">
        <f t="shared" si="32"/>
        <v>#N/A</v>
      </c>
      <c r="R231">
        <f t="shared" si="33"/>
        <v>220</v>
      </c>
      <c r="S231">
        <f t="shared" si="34"/>
        <v>6000</v>
      </c>
      <c r="T231">
        <f t="shared" si="35"/>
        <v>51.1</v>
      </c>
    </row>
    <row r="232" spans="1:20" ht="16" x14ac:dyDescent="0.2">
      <c r="A232" s="1">
        <v>231</v>
      </c>
      <c r="B232" s="1" t="s">
        <v>24</v>
      </c>
      <c r="C232" s="1" t="s">
        <v>22</v>
      </c>
      <c r="D232" s="1">
        <v>45.2</v>
      </c>
      <c r="E232" s="1">
        <v>13.8</v>
      </c>
      <c r="F232" s="1">
        <v>215</v>
      </c>
      <c r="G232" s="1">
        <v>4750</v>
      </c>
      <c r="H232" s="1" t="s">
        <v>20</v>
      </c>
      <c r="I232" s="1">
        <v>2008</v>
      </c>
      <c r="L232" t="e">
        <f t="shared" si="27"/>
        <v>#N/A</v>
      </c>
      <c r="M232" t="e">
        <f t="shared" si="28"/>
        <v>#N/A</v>
      </c>
      <c r="N232" t="e">
        <f t="shared" si="29"/>
        <v>#N/A</v>
      </c>
      <c r="O232" t="e">
        <f t="shared" si="30"/>
        <v>#N/A</v>
      </c>
      <c r="P232" t="e">
        <f t="shared" si="31"/>
        <v>#N/A</v>
      </c>
      <c r="Q232" t="e">
        <f t="shared" si="32"/>
        <v>#N/A</v>
      </c>
      <c r="R232">
        <f t="shared" si="33"/>
        <v>215</v>
      </c>
      <c r="S232">
        <f t="shared" si="34"/>
        <v>4750</v>
      </c>
      <c r="T232">
        <f t="shared" si="35"/>
        <v>45.2</v>
      </c>
    </row>
    <row r="233" spans="1:20" ht="16" x14ac:dyDescent="0.2">
      <c r="A233" s="1">
        <v>232</v>
      </c>
      <c r="B233" s="1" t="s">
        <v>24</v>
      </c>
      <c r="C233" s="1" t="s">
        <v>22</v>
      </c>
      <c r="D233" s="1">
        <v>45.2</v>
      </c>
      <c r="E233" s="1">
        <v>16.399999999999999</v>
      </c>
      <c r="F233" s="1">
        <v>223</v>
      </c>
      <c r="G233" s="1">
        <v>5950</v>
      </c>
      <c r="H233" s="1" t="s">
        <v>19</v>
      </c>
      <c r="I233" s="1">
        <v>2008</v>
      </c>
      <c r="L233" t="e">
        <f t="shared" si="27"/>
        <v>#N/A</v>
      </c>
      <c r="M233" t="e">
        <f t="shared" si="28"/>
        <v>#N/A</v>
      </c>
      <c r="N233" t="e">
        <f t="shared" si="29"/>
        <v>#N/A</v>
      </c>
      <c r="O233" t="e">
        <f t="shared" si="30"/>
        <v>#N/A</v>
      </c>
      <c r="P233" t="e">
        <f t="shared" si="31"/>
        <v>#N/A</v>
      </c>
      <c r="Q233" t="e">
        <f t="shared" si="32"/>
        <v>#N/A</v>
      </c>
      <c r="R233">
        <f t="shared" si="33"/>
        <v>223</v>
      </c>
      <c r="S233">
        <f t="shared" si="34"/>
        <v>5950</v>
      </c>
      <c r="T233">
        <f t="shared" si="35"/>
        <v>45.2</v>
      </c>
    </row>
    <row r="234" spans="1:20" ht="16" x14ac:dyDescent="0.2">
      <c r="A234" s="1">
        <v>233</v>
      </c>
      <c r="B234" s="1" t="s">
        <v>24</v>
      </c>
      <c r="C234" s="1" t="s">
        <v>22</v>
      </c>
      <c r="D234" s="1">
        <v>49.1</v>
      </c>
      <c r="E234" s="1">
        <v>14.5</v>
      </c>
      <c r="F234" s="1">
        <v>212</v>
      </c>
      <c r="G234" s="1">
        <v>4625</v>
      </c>
      <c r="H234" s="1" t="s">
        <v>20</v>
      </c>
      <c r="I234" s="1">
        <v>2009</v>
      </c>
      <c r="L234" t="e">
        <f t="shared" si="27"/>
        <v>#N/A</v>
      </c>
      <c r="M234" t="e">
        <f t="shared" si="28"/>
        <v>#N/A</v>
      </c>
      <c r="N234" t="e">
        <f t="shared" si="29"/>
        <v>#N/A</v>
      </c>
      <c r="O234" t="e">
        <f t="shared" si="30"/>
        <v>#N/A</v>
      </c>
      <c r="P234" t="e">
        <f t="shared" si="31"/>
        <v>#N/A</v>
      </c>
      <c r="Q234" t="e">
        <f t="shared" si="32"/>
        <v>#N/A</v>
      </c>
      <c r="R234">
        <f t="shared" si="33"/>
        <v>212</v>
      </c>
      <c r="S234">
        <f t="shared" si="34"/>
        <v>4625</v>
      </c>
      <c r="T234">
        <f t="shared" si="35"/>
        <v>49.1</v>
      </c>
    </row>
    <row r="235" spans="1:20" ht="16" x14ac:dyDescent="0.2">
      <c r="A235" s="1">
        <v>234</v>
      </c>
      <c r="B235" s="1" t="s">
        <v>24</v>
      </c>
      <c r="C235" s="1" t="s">
        <v>22</v>
      </c>
      <c r="D235" s="1">
        <v>52.5</v>
      </c>
      <c r="E235" s="1">
        <v>15.6</v>
      </c>
      <c r="F235" s="1">
        <v>221</v>
      </c>
      <c r="G235" s="1">
        <v>5450</v>
      </c>
      <c r="H235" s="1" t="s">
        <v>19</v>
      </c>
      <c r="I235" s="1">
        <v>2009</v>
      </c>
      <c r="L235" t="e">
        <f t="shared" si="27"/>
        <v>#N/A</v>
      </c>
      <c r="M235" t="e">
        <f t="shared" si="28"/>
        <v>#N/A</v>
      </c>
      <c r="N235" t="e">
        <f t="shared" si="29"/>
        <v>#N/A</v>
      </c>
      <c r="O235" t="e">
        <f t="shared" si="30"/>
        <v>#N/A</v>
      </c>
      <c r="P235" t="e">
        <f t="shared" si="31"/>
        <v>#N/A</v>
      </c>
      <c r="Q235" t="e">
        <f t="shared" si="32"/>
        <v>#N/A</v>
      </c>
      <c r="R235">
        <f t="shared" si="33"/>
        <v>221</v>
      </c>
      <c r="S235">
        <f t="shared" si="34"/>
        <v>5450</v>
      </c>
      <c r="T235">
        <f t="shared" si="35"/>
        <v>52.5</v>
      </c>
    </row>
    <row r="236" spans="1:20" ht="16" x14ac:dyDescent="0.2">
      <c r="A236" s="1">
        <v>235</v>
      </c>
      <c r="B236" s="1" t="s">
        <v>24</v>
      </c>
      <c r="C236" s="1" t="s">
        <v>22</v>
      </c>
      <c r="D236" s="1">
        <v>47.4</v>
      </c>
      <c r="E236" s="1">
        <v>14.6</v>
      </c>
      <c r="F236" s="1">
        <v>212</v>
      </c>
      <c r="G236" s="1">
        <v>4725</v>
      </c>
      <c r="H236" s="1" t="s">
        <v>20</v>
      </c>
      <c r="I236" s="1">
        <v>2009</v>
      </c>
      <c r="L236" t="e">
        <f t="shared" si="27"/>
        <v>#N/A</v>
      </c>
      <c r="M236" t="e">
        <f t="shared" si="28"/>
        <v>#N/A</v>
      </c>
      <c r="N236" t="e">
        <f t="shared" si="29"/>
        <v>#N/A</v>
      </c>
      <c r="O236" t="e">
        <f t="shared" si="30"/>
        <v>#N/A</v>
      </c>
      <c r="P236" t="e">
        <f t="shared" si="31"/>
        <v>#N/A</v>
      </c>
      <c r="Q236" t="e">
        <f t="shared" si="32"/>
        <v>#N/A</v>
      </c>
      <c r="R236">
        <f t="shared" si="33"/>
        <v>212</v>
      </c>
      <c r="S236">
        <f t="shared" si="34"/>
        <v>4725</v>
      </c>
      <c r="T236">
        <f t="shared" si="35"/>
        <v>47.4</v>
      </c>
    </row>
    <row r="237" spans="1:20" ht="16" x14ac:dyDescent="0.2">
      <c r="A237" s="1">
        <v>236</v>
      </c>
      <c r="B237" s="1" t="s">
        <v>24</v>
      </c>
      <c r="C237" s="1" t="s">
        <v>22</v>
      </c>
      <c r="D237" s="1">
        <v>50</v>
      </c>
      <c r="E237" s="1">
        <v>15.9</v>
      </c>
      <c r="F237" s="1">
        <v>224</v>
      </c>
      <c r="G237" s="1">
        <v>5350</v>
      </c>
      <c r="H237" s="1" t="s">
        <v>19</v>
      </c>
      <c r="I237" s="1">
        <v>2009</v>
      </c>
      <c r="L237" t="e">
        <f t="shared" si="27"/>
        <v>#N/A</v>
      </c>
      <c r="M237" t="e">
        <f t="shared" si="28"/>
        <v>#N/A</v>
      </c>
      <c r="N237" t="e">
        <f t="shared" si="29"/>
        <v>#N/A</v>
      </c>
      <c r="O237" t="e">
        <f t="shared" si="30"/>
        <v>#N/A</v>
      </c>
      <c r="P237" t="e">
        <f t="shared" si="31"/>
        <v>#N/A</v>
      </c>
      <c r="Q237" t="e">
        <f t="shared" si="32"/>
        <v>#N/A</v>
      </c>
      <c r="R237">
        <f t="shared" si="33"/>
        <v>224</v>
      </c>
      <c r="S237">
        <f t="shared" si="34"/>
        <v>5350</v>
      </c>
      <c r="T237">
        <f t="shared" si="35"/>
        <v>50</v>
      </c>
    </row>
    <row r="238" spans="1:20" ht="16" x14ac:dyDescent="0.2">
      <c r="A238" s="1">
        <v>237</v>
      </c>
      <c r="B238" s="1" t="s">
        <v>24</v>
      </c>
      <c r="C238" s="1" t="s">
        <v>22</v>
      </c>
      <c r="D238" s="1">
        <v>44.9</v>
      </c>
      <c r="E238" s="1">
        <v>13.8</v>
      </c>
      <c r="F238" s="1">
        <v>212</v>
      </c>
      <c r="G238" s="1">
        <v>4750</v>
      </c>
      <c r="H238" s="1" t="s">
        <v>20</v>
      </c>
      <c r="I238" s="1">
        <v>2009</v>
      </c>
      <c r="L238" t="e">
        <f t="shared" si="27"/>
        <v>#N/A</v>
      </c>
      <c r="M238" t="e">
        <f t="shared" si="28"/>
        <v>#N/A</v>
      </c>
      <c r="N238" t="e">
        <f t="shared" si="29"/>
        <v>#N/A</v>
      </c>
      <c r="O238" t="e">
        <f t="shared" si="30"/>
        <v>#N/A</v>
      </c>
      <c r="P238" t="e">
        <f t="shared" si="31"/>
        <v>#N/A</v>
      </c>
      <c r="Q238" t="e">
        <f t="shared" si="32"/>
        <v>#N/A</v>
      </c>
      <c r="R238">
        <f t="shared" si="33"/>
        <v>212</v>
      </c>
      <c r="S238">
        <f t="shared" si="34"/>
        <v>4750</v>
      </c>
      <c r="T238">
        <f t="shared" si="35"/>
        <v>44.9</v>
      </c>
    </row>
    <row r="239" spans="1:20" ht="16" x14ac:dyDescent="0.2">
      <c r="A239" s="1">
        <v>238</v>
      </c>
      <c r="B239" s="1" t="s">
        <v>24</v>
      </c>
      <c r="C239" s="1" t="s">
        <v>22</v>
      </c>
      <c r="D239" s="1">
        <v>50.8</v>
      </c>
      <c r="E239" s="1">
        <v>17.3</v>
      </c>
      <c r="F239" s="1">
        <v>228</v>
      </c>
      <c r="G239" s="1">
        <v>5600</v>
      </c>
      <c r="H239" s="1" t="s">
        <v>19</v>
      </c>
      <c r="I239" s="1">
        <v>2009</v>
      </c>
      <c r="L239" t="e">
        <f t="shared" si="27"/>
        <v>#N/A</v>
      </c>
      <c r="M239" t="e">
        <f t="shared" si="28"/>
        <v>#N/A</v>
      </c>
      <c r="N239" t="e">
        <f t="shared" si="29"/>
        <v>#N/A</v>
      </c>
      <c r="O239" t="e">
        <f t="shared" si="30"/>
        <v>#N/A</v>
      </c>
      <c r="P239" t="e">
        <f t="shared" si="31"/>
        <v>#N/A</v>
      </c>
      <c r="Q239" t="e">
        <f t="shared" si="32"/>
        <v>#N/A</v>
      </c>
      <c r="R239">
        <f t="shared" si="33"/>
        <v>228</v>
      </c>
      <c r="S239">
        <f t="shared" si="34"/>
        <v>5600</v>
      </c>
      <c r="T239">
        <f t="shared" si="35"/>
        <v>50.8</v>
      </c>
    </row>
    <row r="240" spans="1:20" ht="16" x14ac:dyDescent="0.2">
      <c r="A240" s="1">
        <v>239</v>
      </c>
      <c r="B240" s="1" t="s">
        <v>24</v>
      </c>
      <c r="C240" s="1" t="s">
        <v>22</v>
      </c>
      <c r="D240" s="1">
        <v>43.4</v>
      </c>
      <c r="E240" s="1">
        <v>14.4</v>
      </c>
      <c r="F240" s="1">
        <v>218</v>
      </c>
      <c r="G240" s="1">
        <v>4600</v>
      </c>
      <c r="H240" s="1" t="s">
        <v>20</v>
      </c>
      <c r="I240" s="1">
        <v>2009</v>
      </c>
      <c r="L240" t="e">
        <f t="shared" si="27"/>
        <v>#N/A</v>
      </c>
      <c r="M240" t="e">
        <f t="shared" si="28"/>
        <v>#N/A</v>
      </c>
      <c r="N240" t="e">
        <f t="shared" si="29"/>
        <v>#N/A</v>
      </c>
      <c r="O240" t="e">
        <f t="shared" si="30"/>
        <v>#N/A</v>
      </c>
      <c r="P240" t="e">
        <f t="shared" si="31"/>
        <v>#N/A</v>
      </c>
      <c r="Q240" t="e">
        <f t="shared" si="32"/>
        <v>#N/A</v>
      </c>
      <c r="R240">
        <f t="shared" si="33"/>
        <v>218</v>
      </c>
      <c r="S240">
        <f t="shared" si="34"/>
        <v>4600</v>
      </c>
      <c r="T240">
        <f t="shared" si="35"/>
        <v>43.4</v>
      </c>
    </row>
    <row r="241" spans="1:20" ht="16" x14ac:dyDescent="0.2">
      <c r="A241" s="1">
        <v>240</v>
      </c>
      <c r="B241" s="1" t="s">
        <v>24</v>
      </c>
      <c r="C241" s="1" t="s">
        <v>22</v>
      </c>
      <c r="D241" s="1">
        <v>51.3</v>
      </c>
      <c r="E241" s="1">
        <v>14.2</v>
      </c>
      <c r="F241" s="1">
        <v>218</v>
      </c>
      <c r="G241" s="1">
        <v>5300</v>
      </c>
      <c r="H241" s="1" t="s">
        <v>19</v>
      </c>
      <c r="I241" s="1">
        <v>2009</v>
      </c>
      <c r="L241" t="e">
        <f t="shared" si="27"/>
        <v>#N/A</v>
      </c>
      <c r="M241" t="e">
        <f t="shared" si="28"/>
        <v>#N/A</v>
      </c>
      <c r="N241" t="e">
        <f t="shared" si="29"/>
        <v>#N/A</v>
      </c>
      <c r="O241" t="e">
        <f t="shared" si="30"/>
        <v>#N/A</v>
      </c>
      <c r="P241" t="e">
        <f t="shared" si="31"/>
        <v>#N/A</v>
      </c>
      <c r="Q241" t="e">
        <f t="shared" si="32"/>
        <v>#N/A</v>
      </c>
      <c r="R241">
        <f t="shared" si="33"/>
        <v>218</v>
      </c>
      <c r="S241">
        <f t="shared" si="34"/>
        <v>5300</v>
      </c>
      <c r="T241">
        <f t="shared" si="35"/>
        <v>51.3</v>
      </c>
    </row>
    <row r="242" spans="1:20" ht="16" x14ac:dyDescent="0.2">
      <c r="A242" s="1">
        <v>241</v>
      </c>
      <c r="B242" s="1" t="s">
        <v>24</v>
      </c>
      <c r="C242" s="1" t="s">
        <v>22</v>
      </c>
      <c r="D242" s="1">
        <v>47.5</v>
      </c>
      <c r="E242" s="1">
        <v>14</v>
      </c>
      <c r="F242" s="1">
        <v>212</v>
      </c>
      <c r="G242" s="1">
        <v>4875</v>
      </c>
      <c r="H242" s="1" t="s">
        <v>20</v>
      </c>
      <c r="I242" s="1">
        <v>2009</v>
      </c>
      <c r="L242" t="e">
        <f t="shared" si="27"/>
        <v>#N/A</v>
      </c>
      <c r="M242" t="e">
        <f t="shared" si="28"/>
        <v>#N/A</v>
      </c>
      <c r="N242" t="e">
        <f t="shared" si="29"/>
        <v>#N/A</v>
      </c>
      <c r="O242" t="e">
        <f t="shared" si="30"/>
        <v>#N/A</v>
      </c>
      <c r="P242" t="e">
        <f t="shared" si="31"/>
        <v>#N/A</v>
      </c>
      <c r="Q242" t="e">
        <f t="shared" si="32"/>
        <v>#N/A</v>
      </c>
      <c r="R242">
        <f t="shared" si="33"/>
        <v>212</v>
      </c>
      <c r="S242">
        <f t="shared" si="34"/>
        <v>4875</v>
      </c>
      <c r="T242">
        <f t="shared" si="35"/>
        <v>47.5</v>
      </c>
    </row>
    <row r="243" spans="1:20" ht="16" x14ac:dyDescent="0.2">
      <c r="A243" s="1">
        <v>242</v>
      </c>
      <c r="B243" s="1" t="s">
        <v>24</v>
      </c>
      <c r="C243" s="1" t="s">
        <v>22</v>
      </c>
      <c r="D243" s="1">
        <v>52.1</v>
      </c>
      <c r="E243" s="1">
        <v>17</v>
      </c>
      <c r="F243" s="1">
        <v>230</v>
      </c>
      <c r="G243" s="1">
        <v>5550</v>
      </c>
      <c r="H243" s="1" t="s">
        <v>19</v>
      </c>
      <c r="I243" s="1">
        <v>2009</v>
      </c>
      <c r="L243" t="e">
        <f t="shared" si="27"/>
        <v>#N/A</v>
      </c>
      <c r="M243" t="e">
        <f t="shared" si="28"/>
        <v>#N/A</v>
      </c>
      <c r="N243" t="e">
        <f t="shared" si="29"/>
        <v>#N/A</v>
      </c>
      <c r="O243" t="e">
        <f t="shared" si="30"/>
        <v>#N/A</v>
      </c>
      <c r="P243" t="e">
        <f t="shared" si="31"/>
        <v>#N/A</v>
      </c>
      <c r="Q243" t="e">
        <f t="shared" si="32"/>
        <v>#N/A</v>
      </c>
      <c r="R243">
        <f t="shared" si="33"/>
        <v>230</v>
      </c>
      <c r="S243">
        <f t="shared" si="34"/>
        <v>5550</v>
      </c>
      <c r="T243">
        <f t="shared" si="35"/>
        <v>52.1</v>
      </c>
    </row>
    <row r="244" spans="1:20" ht="16" x14ac:dyDescent="0.2">
      <c r="A244" s="1">
        <v>243</v>
      </c>
      <c r="B244" s="1" t="s">
        <v>24</v>
      </c>
      <c r="C244" s="1" t="s">
        <v>22</v>
      </c>
      <c r="D244" s="1">
        <v>47.5</v>
      </c>
      <c r="E244" s="1">
        <v>15</v>
      </c>
      <c r="F244" s="1">
        <v>218</v>
      </c>
      <c r="G244" s="1">
        <v>4950</v>
      </c>
      <c r="H244" s="1" t="s">
        <v>20</v>
      </c>
      <c r="I244" s="1">
        <v>2009</v>
      </c>
      <c r="L244" t="e">
        <f t="shared" si="27"/>
        <v>#N/A</v>
      </c>
      <c r="M244" t="e">
        <f t="shared" si="28"/>
        <v>#N/A</v>
      </c>
      <c r="N244" t="e">
        <f t="shared" si="29"/>
        <v>#N/A</v>
      </c>
      <c r="O244" t="e">
        <f t="shared" si="30"/>
        <v>#N/A</v>
      </c>
      <c r="P244" t="e">
        <f t="shared" si="31"/>
        <v>#N/A</v>
      </c>
      <c r="Q244" t="e">
        <f t="shared" si="32"/>
        <v>#N/A</v>
      </c>
      <c r="R244">
        <f t="shared" si="33"/>
        <v>218</v>
      </c>
      <c r="S244">
        <f t="shared" si="34"/>
        <v>4950</v>
      </c>
      <c r="T244">
        <f t="shared" si="35"/>
        <v>47.5</v>
      </c>
    </row>
    <row r="245" spans="1:20" ht="16" x14ac:dyDescent="0.2">
      <c r="A245" s="1">
        <v>244</v>
      </c>
      <c r="B245" s="1" t="s">
        <v>24</v>
      </c>
      <c r="C245" s="1" t="s">
        <v>22</v>
      </c>
      <c r="D245" s="1">
        <v>52.2</v>
      </c>
      <c r="E245" s="1">
        <v>17.100000000000001</v>
      </c>
      <c r="F245" s="1">
        <v>228</v>
      </c>
      <c r="G245" s="1">
        <v>5400</v>
      </c>
      <c r="H245" s="1" t="s">
        <v>19</v>
      </c>
      <c r="I245" s="1">
        <v>2009</v>
      </c>
      <c r="L245" t="e">
        <f t="shared" si="27"/>
        <v>#N/A</v>
      </c>
      <c r="M245" t="e">
        <f t="shared" si="28"/>
        <v>#N/A</v>
      </c>
      <c r="N245" t="e">
        <f t="shared" si="29"/>
        <v>#N/A</v>
      </c>
      <c r="O245" t="e">
        <f t="shared" si="30"/>
        <v>#N/A</v>
      </c>
      <c r="P245" t="e">
        <f t="shared" si="31"/>
        <v>#N/A</v>
      </c>
      <c r="Q245" t="e">
        <f t="shared" si="32"/>
        <v>#N/A</v>
      </c>
      <c r="R245">
        <f t="shared" si="33"/>
        <v>228</v>
      </c>
      <c r="S245">
        <f t="shared" si="34"/>
        <v>5400</v>
      </c>
      <c r="T245">
        <f t="shared" si="35"/>
        <v>52.2</v>
      </c>
    </row>
    <row r="246" spans="1:20" ht="16" x14ac:dyDescent="0.2">
      <c r="A246" s="1">
        <v>245</v>
      </c>
      <c r="B246" s="1" t="s">
        <v>24</v>
      </c>
      <c r="C246" s="1" t="s">
        <v>22</v>
      </c>
      <c r="D246" s="1">
        <v>45.5</v>
      </c>
      <c r="E246" s="1">
        <v>14.5</v>
      </c>
      <c r="F246" s="1">
        <v>212</v>
      </c>
      <c r="G246" s="1">
        <v>4750</v>
      </c>
      <c r="H246" s="1" t="s">
        <v>20</v>
      </c>
      <c r="I246" s="1">
        <v>2009</v>
      </c>
      <c r="L246" t="e">
        <f t="shared" si="27"/>
        <v>#N/A</v>
      </c>
      <c r="M246" t="e">
        <f t="shared" si="28"/>
        <v>#N/A</v>
      </c>
      <c r="N246" t="e">
        <f t="shared" si="29"/>
        <v>#N/A</v>
      </c>
      <c r="O246" t="e">
        <f t="shared" si="30"/>
        <v>#N/A</v>
      </c>
      <c r="P246" t="e">
        <f t="shared" si="31"/>
        <v>#N/A</v>
      </c>
      <c r="Q246" t="e">
        <f t="shared" si="32"/>
        <v>#N/A</v>
      </c>
      <c r="R246">
        <f t="shared" si="33"/>
        <v>212</v>
      </c>
      <c r="S246">
        <f t="shared" si="34"/>
        <v>4750</v>
      </c>
      <c r="T246">
        <f t="shared" si="35"/>
        <v>45.5</v>
      </c>
    </row>
    <row r="247" spans="1:20" ht="16" x14ac:dyDescent="0.2">
      <c r="A247" s="1">
        <v>246</v>
      </c>
      <c r="B247" s="1" t="s">
        <v>24</v>
      </c>
      <c r="C247" s="1" t="s">
        <v>22</v>
      </c>
      <c r="D247" s="1">
        <v>49.5</v>
      </c>
      <c r="E247" s="1">
        <v>16.100000000000001</v>
      </c>
      <c r="F247" s="1">
        <v>224</v>
      </c>
      <c r="G247" s="1">
        <v>5650</v>
      </c>
      <c r="H247" s="1" t="s">
        <v>19</v>
      </c>
      <c r="I247" s="1">
        <v>2009</v>
      </c>
      <c r="L247" t="e">
        <f t="shared" si="27"/>
        <v>#N/A</v>
      </c>
      <c r="M247" t="e">
        <f t="shared" si="28"/>
        <v>#N/A</v>
      </c>
      <c r="N247" t="e">
        <f t="shared" si="29"/>
        <v>#N/A</v>
      </c>
      <c r="O247" t="e">
        <f t="shared" si="30"/>
        <v>#N/A</v>
      </c>
      <c r="P247" t="e">
        <f t="shared" si="31"/>
        <v>#N/A</v>
      </c>
      <c r="Q247" t="e">
        <f t="shared" si="32"/>
        <v>#N/A</v>
      </c>
      <c r="R247">
        <f t="shared" si="33"/>
        <v>224</v>
      </c>
      <c r="S247">
        <f t="shared" si="34"/>
        <v>5650</v>
      </c>
      <c r="T247">
        <f t="shared" si="35"/>
        <v>49.5</v>
      </c>
    </row>
    <row r="248" spans="1:20" ht="16" x14ac:dyDescent="0.2">
      <c r="A248" s="1">
        <v>247</v>
      </c>
      <c r="B248" s="1" t="s">
        <v>24</v>
      </c>
      <c r="C248" s="1" t="s">
        <v>22</v>
      </c>
      <c r="D248" s="1">
        <v>44.5</v>
      </c>
      <c r="E248" s="1">
        <v>14.7</v>
      </c>
      <c r="F248" s="1">
        <v>214</v>
      </c>
      <c r="G248" s="1">
        <v>4850</v>
      </c>
      <c r="H248" s="1" t="s">
        <v>20</v>
      </c>
      <c r="I248" s="1">
        <v>2009</v>
      </c>
      <c r="L248" t="e">
        <f t="shared" si="27"/>
        <v>#N/A</v>
      </c>
      <c r="M248" t="e">
        <f t="shared" si="28"/>
        <v>#N/A</v>
      </c>
      <c r="N248" t="e">
        <f t="shared" si="29"/>
        <v>#N/A</v>
      </c>
      <c r="O248" t="e">
        <f t="shared" si="30"/>
        <v>#N/A</v>
      </c>
      <c r="P248" t="e">
        <f t="shared" si="31"/>
        <v>#N/A</v>
      </c>
      <c r="Q248" t="e">
        <f t="shared" si="32"/>
        <v>#N/A</v>
      </c>
      <c r="R248">
        <f t="shared" si="33"/>
        <v>214</v>
      </c>
      <c r="S248">
        <f t="shared" si="34"/>
        <v>4850</v>
      </c>
      <c r="T248">
        <f t="shared" si="35"/>
        <v>44.5</v>
      </c>
    </row>
    <row r="249" spans="1:20" ht="16" x14ac:dyDescent="0.2">
      <c r="A249" s="1">
        <v>248</v>
      </c>
      <c r="B249" s="1" t="s">
        <v>24</v>
      </c>
      <c r="C249" s="1" t="s">
        <v>22</v>
      </c>
      <c r="D249" s="1">
        <v>50.8</v>
      </c>
      <c r="E249" s="1">
        <v>15.7</v>
      </c>
      <c r="F249" s="1">
        <v>226</v>
      </c>
      <c r="G249" s="1">
        <v>5200</v>
      </c>
      <c r="H249" s="1" t="s">
        <v>19</v>
      </c>
      <c r="I249" s="1">
        <v>2009</v>
      </c>
      <c r="L249" t="e">
        <f t="shared" si="27"/>
        <v>#N/A</v>
      </c>
      <c r="M249" t="e">
        <f t="shared" si="28"/>
        <v>#N/A</v>
      </c>
      <c r="N249" t="e">
        <f t="shared" si="29"/>
        <v>#N/A</v>
      </c>
      <c r="O249" t="e">
        <f t="shared" si="30"/>
        <v>#N/A</v>
      </c>
      <c r="P249" t="e">
        <f t="shared" si="31"/>
        <v>#N/A</v>
      </c>
      <c r="Q249" t="e">
        <f t="shared" si="32"/>
        <v>#N/A</v>
      </c>
      <c r="R249">
        <f t="shared" si="33"/>
        <v>226</v>
      </c>
      <c r="S249">
        <f t="shared" si="34"/>
        <v>5200</v>
      </c>
      <c r="T249">
        <f t="shared" si="35"/>
        <v>50.8</v>
      </c>
    </row>
    <row r="250" spans="1:20" ht="16" x14ac:dyDescent="0.2">
      <c r="A250" s="1">
        <v>249</v>
      </c>
      <c r="B250" s="1" t="s">
        <v>24</v>
      </c>
      <c r="C250" s="1" t="s">
        <v>22</v>
      </c>
      <c r="D250" s="1">
        <v>49.4</v>
      </c>
      <c r="E250" s="1">
        <v>15.8</v>
      </c>
      <c r="F250" s="1">
        <v>216</v>
      </c>
      <c r="G250" s="1">
        <v>4925</v>
      </c>
      <c r="H250" s="1" t="s">
        <v>19</v>
      </c>
      <c r="I250" s="1">
        <v>2009</v>
      </c>
      <c r="L250" t="e">
        <f t="shared" si="27"/>
        <v>#N/A</v>
      </c>
      <c r="M250" t="e">
        <f t="shared" si="28"/>
        <v>#N/A</v>
      </c>
      <c r="N250" t="e">
        <f t="shared" si="29"/>
        <v>#N/A</v>
      </c>
      <c r="O250" t="e">
        <f t="shared" si="30"/>
        <v>#N/A</v>
      </c>
      <c r="P250" t="e">
        <f t="shared" si="31"/>
        <v>#N/A</v>
      </c>
      <c r="Q250" t="e">
        <f t="shared" si="32"/>
        <v>#N/A</v>
      </c>
      <c r="R250">
        <f t="shared" si="33"/>
        <v>216</v>
      </c>
      <c r="S250">
        <f t="shared" si="34"/>
        <v>4925</v>
      </c>
      <c r="T250">
        <f t="shared" si="35"/>
        <v>49.4</v>
      </c>
    </row>
    <row r="251" spans="1:20" ht="16" x14ac:dyDescent="0.2">
      <c r="A251" s="1">
        <v>250</v>
      </c>
      <c r="B251" s="1" t="s">
        <v>24</v>
      </c>
      <c r="C251" s="1" t="s">
        <v>22</v>
      </c>
      <c r="D251" s="1">
        <v>46.9</v>
      </c>
      <c r="E251" s="1">
        <v>14.6</v>
      </c>
      <c r="F251" s="1">
        <v>222</v>
      </c>
      <c r="G251" s="1">
        <v>4875</v>
      </c>
      <c r="H251" s="1" t="s">
        <v>20</v>
      </c>
      <c r="I251" s="1">
        <v>2009</v>
      </c>
      <c r="L251" t="e">
        <f t="shared" si="27"/>
        <v>#N/A</v>
      </c>
      <c r="M251" t="e">
        <f t="shared" si="28"/>
        <v>#N/A</v>
      </c>
      <c r="N251" t="e">
        <f t="shared" si="29"/>
        <v>#N/A</v>
      </c>
      <c r="O251" t="e">
        <f t="shared" si="30"/>
        <v>#N/A</v>
      </c>
      <c r="P251" t="e">
        <f t="shared" si="31"/>
        <v>#N/A</v>
      </c>
      <c r="Q251" t="e">
        <f t="shared" si="32"/>
        <v>#N/A</v>
      </c>
      <c r="R251">
        <f t="shared" si="33"/>
        <v>222</v>
      </c>
      <c r="S251">
        <f t="shared" si="34"/>
        <v>4875</v>
      </c>
      <c r="T251">
        <f t="shared" si="35"/>
        <v>46.9</v>
      </c>
    </row>
    <row r="252" spans="1:20" ht="16" x14ac:dyDescent="0.2">
      <c r="A252" s="1">
        <v>251</v>
      </c>
      <c r="B252" s="1" t="s">
        <v>24</v>
      </c>
      <c r="C252" s="1" t="s">
        <v>22</v>
      </c>
      <c r="D252" s="1">
        <v>48.4</v>
      </c>
      <c r="E252" s="1">
        <v>14.4</v>
      </c>
      <c r="F252" s="1">
        <v>203</v>
      </c>
      <c r="G252" s="1">
        <v>4625</v>
      </c>
      <c r="H252" s="1" t="s">
        <v>20</v>
      </c>
      <c r="I252" s="1">
        <v>2009</v>
      </c>
      <c r="L252" t="e">
        <f t="shared" si="27"/>
        <v>#N/A</v>
      </c>
      <c r="M252" t="e">
        <f t="shared" si="28"/>
        <v>#N/A</v>
      </c>
      <c r="N252" t="e">
        <f t="shared" si="29"/>
        <v>#N/A</v>
      </c>
      <c r="O252" t="e">
        <f t="shared" si="30"/>
        <v>#N/A</v>
      </c>
      <c r="P252" t="e">
        <f t="shared" si="31"/>
        <v>#N/A</v>
      </c>
      <c r="Q252" t="e">
        <f t="shared" si="32"/>
        <v>#N/A</v>
      </c>
      <c r="R252">
        <f t="shared" si="33"/>
        <v>203</v>
      </c>
      <c r="S252">
        <f t="shared" si="34"/>
        <v>4625</v>
      </c>
      <c r="T252">
        <f t="shared" si="35"/>
        <v>48.4</v>
      </c>
    </row>
    <row r="253" spans="1:20" ht="16" x14ac:dyDescent="0.2">
      <c r="A253" s="1">
        <v>252</v>
      </c>
      <c r="B253" s="1" t="s">
        <v>24</v>
      </c>
      <c r="C253" s="1" t="s">
        <v>22</v>
      </c>
      <c r="D253" s="1">
        <v>51.1</v>
      </c>
      <c r="E253" s="1">
        <v>16.5</v>
      </c>
      <c r="F253" s="1">
        <v>225</v>
      </c>
      <c r="G253" s="1">
        <v>5250</v>
      </c>
      <c r="H253" s="1" t="s">
        <v>19</v>
      </c>
      <c r="I253" s="1">
        <v>2009</v>
      </c>
      <c r="L253" t="e">
        <f t="shared" si="27"/>
        <v>#N/A</v>
      </c>
      <c r="M253" t="e">
        <f t="shared" si="28"/>
        <v>#N/A</v>
      </c>
      <c r="N253" t="e">
        <f t="shared" si="29"/>
        <v>#N/A</v>
      </c>
      <c r="O253" t="e">
        <f t="shared" si="30"/>
        <v>#N/A</v>
      </c>
      <c r="P253" t="e">
        <f t="shared" si="31"/>
        <v>#N/A</v>
      </c>
      <c r="Q253" t="e">
        <f t="shared" si="32"/>
        <v>#N/A</v>
      </c>
      <c r="R253">
        <f t="shared" si="33"/>
        <v>225</v>
      </c>
      <c r="S253">
        <f t="shared" si="34"/>
        <v>5250</v>
      </c>
      <c r="T253">
        <f t="shared" si="35"/>
        <v>51.1</v>
      </c>
    </row>
    <row r="254" spans="1:20" ht="16" x14ac:dyDescent="0.2">
      <c r="A254" s="1">
        <v>253</v>
      </c>
      <c r="B254" s="1" t="s">
        <v>24</v>
      </c>
      <c r="C254" s="1" t="s">
        <v>22</v>
      </c>
      <c r="D254" s="1">
        <v>48.5</v>
      </c>
      <c r="E254" s="1">
        <v>15</v>
      </c>
      <c r="F254" s="1">
        <v>219</v>
      </c>
      <c r="G254" s="1">
        <v>4850</v>
      </c>
      <c r="H254" s="1" t="s">
        <v>20</v>
      </c>
      <c r="I254" s="1">
        <v>2009</v>
      </c>
      <c r="L254" t="e">
        <f t="shared" si="27"/>
        <v>#N/A</v>
      </c>
      <c r="M254" t="e">
        <f t="shared" si="28"/>
        <v>#N/A</v>
      </c>
      <c r="N254" t="e">
        <f t="shared" si="29"/>
        <v>#N/A</v>
      </c>
      <c r="O254" t="e">
        <f t="shared" si="30"/>
        <v>#N/A</v>
      </c>
      <c r="P254" t="e">
        <f t="shared" si="31"/>
        <v>#N/A</v>
      </c>
      <c r="Q254" t="e">
        <f t="shared" si="32"/>
        <v>#N/A</v>
      </c>
      <c r="R254">
        <f t="shared" si="33"/>
        <v>219</v>
      </c>
      <c r="S254">
        <f t="shared" si="34"/>
        <v>4850</v>
      </c>
      <c r="T254">
        <f t="shared" si="35"/>
        <v>48.5</v>
      </c>
    </row>
    <row r="255" spans="1:20" ht="16" x14ac:dyDescent="0.2">
      <c r="A255" s="1">
        <v>254</v>
      </c>
      <c r="B255" s="1" t="s">
        <v>24</v>
      </c>
      <c r="C255" s="1" t="s">
        <v>22</v>
      </c>
      <c r="D255" s="1">
        <v>55.9</v>
      </c>
      <c r="E255" s="1">
        <v>17</v>
      </c>
      <c r="F255" s="1">
        <v>228</v>
      </c>
      <c r="G255" s="1">
        <v>5600</v>
      </c>
      <c r="H255" s="1" t="s">
        <v>19</v>
      </c>
      <c r="I255" s="1">
        <v>2009</v>
      </c>
      <c r="L255" t="e">
        <f t="shared" si="27"/>
        <v>#N/A</v>
      </c>
      <c r="M255" t="e">
        <f t="shared" si="28"/>
        <v>#N/A</v>
      </c>
      <c r="N255" t="e">
        <f t="shared" si="29"/>
        <v>#N/A</v>
      </c>
      <c r="O255" t="e">
        <f t="shared" si="30"/>
        <v>#N/A</v>
      </c>
      <c r="P255" t="e">
        <f t="shared" si="31"/>
        <v>#N/A</v>
      </c>
      <c r="Q255" t="e">
        <f t="shared" si="32"/>
        <v>#N/A</v>
      </c>
      <c r="R255">
        <f t="shared" si="33"/>
        <v>228</v>
      </c>
      <c r="S255">
        <f t="shared" si="34"/>
        <v>5600</v>
      </c>
      <c r="T255">
        <f t="shared" si="35"/>
        <v>55.9</v>
      </c>
    </row>
    <row r="256" spans="1:20" ht="16" x14ac:dyDescent="0.2">
      <c r="A256" s="1">
        <v>255</v>
      </c>
      <c r="B256" s="1" t="s">
        <v>24</v>
      </c>
      <c r="C256" s="1" t="s">
        <v>22</v>
      </c>
      <c r="D256" s="1">
        <v>47.2</v>
      </c>
      <c r="E256" s="1">
        <v>15.5</v>
      </c>
      <c r="F256" s="1">
        <v>215</v>
      </c>
      <c r="G256" s="1">
        <v>4975</v>
      </c>
      <c r="H256" s="1" t="s">
        <v>20</v>
      </c>
      <c r="I256" s="1">
        <v>2009</v>
      </c>
      <c r="L256" t="e">
        <f t="shared" si="27"/>
        <v>#N/A</v>
      </c>
      <c r="M256" t="e">
        <f t="shared" si="28"/>
        <v>#N/A</v>
      </c>
      <c r="N256" t="e">
        <f t="shared" si="29"/>
        <v>#N/A</v>
      </c>
      <c r="O256" t="e">
        <f t="shared" si="30"/>
        <v>#N/A</v>
      </c>
      <c r="P256" t="e">
        <f t="shared" si="31"/>
        <v>#N/A</v>
      </c>
      <c r="Q256" t="e">
        <f t="shared" si="32"/>
        <v>#N/A</v>
      </c>
      <c r="R256">
        <f t="shared" si="33"/>
        <v>215</v>
      </c>
      <c r="S256">
        <f t="shared" si="34"/>
        <v>4975</v>
      </c>
      <c r="T256">
        <f t="shared" si="35"/>
        <v>47.2</v>
      </c>
    </row>
    <row r="257" spans="1:20" ht="16" x14ac:dyDescent="0.2">
      <c r="A257" s="1">
        <v>256</v>
      </c>
      <c r="B257" s="1" t="s">
        <v>24</v>
      </c>
      <c r="C257" s="1" t="s">
        <v>22</v>
      </c>
      <c r="D257" s="1">
        <v>49.1</v>
      </c>
      <c r="E257" s="1">
        <v>15</v>
      </c>
      <c r="F257" s="1">
        <v>228</v>
      </c>
      <c r="G257" s="1">
        <v>5500</v>
      </c>
      <c r="H257" s="1" t="s">
        <v>19</v>
      </c>
      <c r="I257" s="1">
        <v>2009</v>
      </c>
      <c r="L257" t="e">
        <f t="shared" si="27"/>
        <v>#N/A</v>
      </c>
      <c r="M257" t="e">
        <f t="shared" si="28"/>
        <v>#N/A</v>
      </c>
      <c r="N257" t="e">
        <f t="shared" si="29"/>
        <v>#N/A</v>
      </c>
      <c r="O257" t="e">
        <f t="shared" si="30"/>
        <v>#N/A</v>
      </c>
      <c r="P257" t="e">
        <f t="shared" si="31"/>
        <v>#N/A</v>
      </c>
      <c r="Q257" t="e">
        <f t="shared" si="32"/>
        <v>#N/A</v>
      </c>
      <c r="R257">
        <f t="shared" si="33"/>
        <v>228</v>
      </c>
      <c r="S257">
        <f t="shared" si="34"/>
        <v>5500</v>
      </c>
      <c r="T257">
        <f t="shared" si="35"/>
        <v>49.1</v>
      </c>
    </row>
    <row r="258" spans="1:20" ht="16" x14ac:dyDescent="0.2">
      <c r="A258" s="1">
        <v>257</v>
      </c>
      <c r="B258" s="1" t="s">
        <v>24</v>
      </c>
      <c r="C258" s="1" t="s">
        <v>22</v>
      </c>
      <c r="D258" s="1">
        <v>47.3</v>
      </c>
      <c r="E258" s="1">
        <v>13.8</v>
      </c>
      <c r="F258" s="1">
        <v>216</v>
      </c>
      <c r="G258" s="1">
        <v>4725</v>
      </c>
      <c r="H258" s="1" t="s">
        <v>21</v>
      </c>
      <c r="I258" s="1">
        <v>2009</v>
      </c>
      <c r="L258" t="e">
        <f t="shared" si="27"/>
        <v>#N/A</v>
      </c>
      <c r="M258" t="e">
        <f t="shared" si="28"/>
        <v>#N/A</v>
      </c>
      <c r="N258" t="e">
        <f t="shared" si="29"/>
        <v>#N/A</v>
      </c>
      <c r="O258" t="e">
        <f t="shared" si="30"/>
        <v>#N/A</v>
      </c>
      <c r="P258" t="e">
        <f t="shared" si="31"/>
        <v>#N/A</v>
      </c>
      <c r="Q258" t="e">
        <f t="shared" si="32"/>
        <v>#N/A</v>
      </c>
      <c r="R258">
        <f t="shared" si="33"/>
        <v>216</v>
      </c>
      <c r="S258">
        <f t="shared" si="34"/>
        <v>4725</v>
      </c>
      <c r="T258">
        <f t="shared" si="35"/>
        <v>47.3</v>
      </c>
    </row>
    <row r="259" spans="1:20" ht="16" x14ac:dyDescent="0.2">
      <c r="A259" s="1">
        <v>258</v>
      </c>
      <c r="B259" s="1" t="s">
        <v>24</v>
      </c>
      <c r="C259" s="1" t="s">
        <v>22</v>
      </c>
      <c r="D259" s="1">
        <v>46.8</v>
      </c>
      <c r="E259" s="1">
        <v>16.100000000000001</v>
      </c>
      <c r="F259" s="1">
        <v>215</v>
      </c>
      <c r="G259" s="1">
        <v>5500</v>
      </c>
      <c r="H259" s="1" t="s">
        <v>19</v>
      </c>
      <c r="I259" s="1">
        <v>2009</v>
      </c>
      <c r="L259" t="e">
        <f t="shared" ref="L259:L322" si="36">IF(TRIM($B259)="Adelie",IFERROR(VALUE($F259),NA()),NA())</f>
        <v>#N/A</v>
      </c>
      <c r="M259" t="e">
        <f t="shared" ref="M259:M322" si="37">IF(TRIM(CLEAN(SUBSTITUTE($B259,CHAR(160),"")))="Adelie",IFERROR(VALUE($G259),NA()),NA())</f>
        <v>#N/A</v>
      </c>
      <c r="N259" t="e">
        <f t="shared" ref="N259:N322" si="38">IF(TRIM(CLEAN(SUBSTITUTE($B259,CHAR(160),"")))="Adelie",IF(OR($D259="NA",$D259=""),NA(),VALUE($D259)),NA())</f>
        <v>#N/A</v>
      </c>
      <c r="O259" t="e">
        <f t="shared" ref="O259:O322" si="39">IF(TRIM(CLEAN(SUBSTITUTE($B259,CHAR(160),"")))="Chinstrap",IF(OR($F259="NA",$F259=""),NA(),VALUE($F259)),NA())</f>
        <v>#N/A</v>
      </c>
      <c r="P259" t="e">
        <f t="shared" ref="P259:P322" si="40">IF(TRIM(CLEAN(SUBSTITUTE($B259,CHAR(160),"")))="Chinstrap",IF(OR($G259="NA",$G259=""),NA(),VALUE($G259)),NA())</f>
        <v>#N/A</v>
      </c>
      <c r="Q259" t="e">
        <f t="shared" ref="Q259:Q322" si="41">IF(TRIM(CLEAN(SUBSTITUTE($B259,CHAR(160),"")))="Chinstrap",IF(OR($D259="NA",$D259=""),NA(),VALUE($D259)),NA())</f>
        <v>#N/A</v>
      </c>
      <c r="R259">
        <f t="shared" ref="R259:R322" si="42">IF(TRIM(CLEAN(SUBSTITUTE($B259,CHAR(160),"")))="Gentoo",IF(OR($F259="NA",$F259=""),NA(),VALUE($F259)),NA())</f>
        <v>215</v>
      </c>
      <c r="S259">
        <f t="shared" ref="S259:S322" si="43">IF(TRIM(CLEAN(SUBSTITUTE($B259,CHAR(160),"")))="Gentoo",IF(OR($G259="NA",$G259=""),NA(),VALUE($G259)),NA())</f>
        <v>5500</v>
      </c>
      <c r="T259">
        <f t="shared" ref="T259:T322" si="44">IF(TRIM(CLEAN(SUBSTITUTE($B259,CHAR(160),"")))="Gentoo",IF(OR($D259="NA",$D259=""),NA(),VALUE($D259)),NA())</f>
        <v>46.8</v>
      </c>
    </row>
    <row r="260" spans="1:20" ht="16" x14ac:dyDescent="0.2">
      <c r="A260" s="1">
        <v>259</v>
      </c>
      <c r="B260" s="1" t="s">
        <v>24</v>
      </c>
      <c r="C260" s="1" t="s">
        <v>22</v>
      </c>
      <c r="D260" s="1">
        <v>41.7</v>
      </c>
      <c r="E260" s="1">
        <v>14.7</v>
      </c>
      <c r="F260" s="1">
        <v>210</v>
      </c>
      <c r="G260" s="1">
        <v>4700</v>
      </c>
      <c r="H260" s="1" t="s">
        <v>20</v>
      </c>
      <c r="I260" s="1">
        <v>2009</v>
      </c>
      <c r="L260" t="e">
        <f t="shared" si="36"/>
        <v>#N/A</v>
      </c>
      <c r="M260" t="e">
        <f t="shared" si="37"/>
        <v>#N/A</v>
      </c>
      <c r="N260" t="e">
        <f t="shared" si="38"/>
        <v>#N/A</v>
      </c>
      <c r="O260" t="e">
        <f t="shared" si="39"/>
        <v>#N/A</v>
      </c>
      <c r="P260" t="e">
        <f t="shared" si="40"/>
        <v>#N/A</v>
      </c>
      <c r="Q260" t="e">
        <f t="shared" si="41"/>
        <v>#N/A</v>
      </c>
      <c r="R260">
        <f t="shared" si="42"/>
        <v>210</v>
      </c>
      <c r="S260">
        <f t="shared" si="43"/>
        <v>4700</v>
      </c>
      <c r="T260">
        <f t="shared" si="44"/>
        <v>41.7</v>
      </c>
    </row>
    <row r="261" spans="1:20" ht="16" x14ac:dyDescent="0.2">
      <c r="A261" s="1">
        <v>260</v>
      </c>
      <c r="B261" s="1" t="s">
        <v>24</v>
      </c>
      <c r="C261" s="1" t="s">
        <v>22</v>
      </c>
      <c r="D261" s="1">
        <v>53.4</v>
      </c>
      <c r="E261" s="1">
        <v>15.8</v>
      </c>
      <c r="F261" s="1">
        <v>219</v>
      </c>
      <c r="G261" s="1">
        <v>5500</v>
      </c>
      <c r="H261" s="1" t="s">
        <v>19</v>
      </c>
      <c r="I261" s="1">
        <v>2009</v>
      </c>
      <c r="L261" t="e">
        <f t="shared" si="36"/>
        <v>#N/A</v>
      </c>
      <c r="M261" t="e">
        <f t="shared" si="37"/>
        <v>#N/A</v>
      </c>
      <c r="N261" t="e">
        <f t="shared" si="38"/>
        <v>#N/A</v>
      </c>
      <c r="O261" t="e">
        <f t="shared" si="39"/>
        <v>#N/A</v>
      </c>
      <c r="P261" t="e">
        <f t="shared" si="40"/>
        <v>#N/A</v>
      </c>
      <c r="Q261" t="e">
        <f t="shared" si="41"/>
        <v>#N/A</v>
      </c>
      <c r="R261">
        <f t="shared" si="42"/>
        <v>219</v>
      </c>
      <c r="S261">
        <f t="shared" si="43"/>
        <v>5500</v>
      </c>
      <c r="T261">
        <f t="shared" si="44"/>
        <v>53.4</v>
      </c>
    </row>
    <row r="262" spans="1:20" ht="16" x14ac:dyDescent="0.2">
      <c r="A262" s="1">
        <v>261</v>
      </c>
      <c r="B262" s="1" t="s">
        <v>24</v>
      </c>
      <c r="C262" s="1" t="s">
        <v>22</v>
      </c>
      <c r="D262" s="1">
        <v>43.3</v>
      </c>
      <c r="E262" s="1">
        <v>14</v>
      </c>
      <c r="F262" s="1">
        <v>208</v>
      </c>
      <c r="G262" s="1">
        <v>4575</v>
      </c>
      <c r="H262" s="1" t="s">
        <v>20</v>
      </c>
      <c r="I262" s="1">
        <v>2009</v>
      </c>
      <c r="L262" t="e">
        <f t="shared" si="36"/>
        <v>#N/A</v>
      </c>
      <c r="M262" t="e">
        <f t="shared" si="37"/>
        <v>#N/A</v>
      </c>
      <c r="N262" t="e">
        <f t="shared" si="38"/>
        <v>#N/A</v>
      </c>
      <c r="O262" t="e">
        <f t="shared" si="39"/>
        <v>#N/A</v>
      </c>
      <c r="P262" t="e">
        <f t="shared" si="40"/>
        <v>#N/A</v>
      </c>
      <c r="Q262" t="e">
        <f t="shared" si="41"/>
        <v>#N/A</v>
      </c>
      <c r="R262">
        <f t="shared" si="42"/>
        <v>208</v>
      </c>
      <c r="S262">
        <f t="shared" si="43"/>
        <v>4575</v>
      </c>
      <c r="T262">
        <f t="shared" si="44"/>
        <v>43.3</v>
      </c>
    </row>
    <row r="263" spans="1:20" ht="16" x14ac:dyDescent="0.2">
      <c r="A263" s="1">
        <v>262</v>
      </c>
      <c r="B263" s="1" t="s">
        <v>24</v>
      </c>
      <c r="C263" s="1" t="s">
        <v>22</v>
      </c>
      <c r="D263" s="1">
        <v>48.1</v>
      </c>
      <c r="E263" s="1">
        <v>15.1</v>
      </c>
      <c r="F263" s="1">
        <v>209</v>
      </c>
      <c r="G263" s="1">
        <v>5500</v>
      </c>
      <c r="H263" s="1" t="s">
        <v>19</v>
      </c>
      <c r="I263" s="1">
        <v>2009</v>
      </c>
      <c r="L263" t="e">
        <f t="shared" si="36"/>
        <v>#N/A</v>
      </c>
      <c r="M263" t="e">
        <f t="shared" si="37"/>
        <v>#N/A</v>
      </c>
      <c r="N263" t="e">
        <f t="shared" si="38"/>
        <v>#N/A</v>
      </c>
      <c r="O263" t="e">
        <f t="shared" si="39"/>
        <v>#N/A</v>
      </c>
      <c r="P263" t="e">
        <f t="shared" si="40"/>
        <v>#N/A</v>
      </c>
      <c r="Q263" t="e">
        <f t="shared" si="41"/>
        <v>#N/A</v>
      </c>
      <c r="R263">
        <f t="shared" si="42"/>
        <v>209</v>
      </c>
      <c r="S263">
        <f t="shared" si="43"/>
        <v>5500</v>
      </c>
      <c r="T263">
        <f t="shared" si="44"/>
        <v>48.1</v>
      </c>
    </row>
    <row r="264" spans="1:20" ht="16" x14ac:dyDescent="0.2">
      <c r="A264" s="1">
        <v>263</v>
      </c>
      <c r="B264" s="1" t="s">
        <v>24</v>
      </c>
      <c r="C264" s="1" t="s">
        <v>22</v>
      </c>
      <c r="D264" s="1">
        <v>50.5</v>
      </c>
      <c r="E264" s="1">
        <v>15.2</v>
      </c>
      <c r="F264" s="1">
        <v>216</v>
      </c>
      <c r="G264" s="1">
        <v>5000</v>
      </c>
      <c r="H264" s="1" t="s">
        <v>20</v>
      </c>
      <c r="I264" s="1">
        <v>2009</v>
      </c>
      <c r="L264" t="e">
        <f t="shared" si="36"/>
        <v>#N/A</v>
      </c>
      <c r="M264" t="e">
        <f t="shared" si="37"/>
        <v>#N/A</v>
      </c>
      <c r="N264" t="e">
        <f t="shared" si="38"/>
        <v>#N/A</v>
      </c>
      <c r="O264" t="e">
        <f t="shared" si="39"/>
        <v>#N/A</v>
      </c>
      <c r="P264" t="e">
        <f t="shared" si="40"/>
        <v>#N/A</v>
      </c>
      <c r="Q264" t="e">
        <f t="shared" si="41"/>
        <v>#N/A</v>
      </c>
      <c r="R264">
        <f t="shared" si="42"/>
        <v>216</v>
      </c>
      <c r="S264">
        <f t="shared" si="43"/>
        <v>5000</v>
      </c>
      <c r="T264">
        <f t="shared" si="44"/>
        <v>50.5</v>
      </c>
    </row>
    <row r="265" spans="1:20" ht="16" x14ac:dyDescent="0.2">
      <c r="A265" s="1">
        <v>264</v>
      </c>
      <c r="B265" s="1" t="s">
        <v>24</v>
      </c>
      <c r="C265" s="1" t="s">
        <v>22</v>
      </c>
      <c r="D265" s="1">
        <v>49.8</v>
      </c>
      <c r="E265" s="1">
        <v>15.9</v>
      </c>
      <c r="F265" s="1">
        <v>229</v>
      </c>
      <c r="G265" s="1">
        <v>5950</v>
      </c>
      <c r="H265" s="1" t="s">
        <v>19</v>
      </c>
      <c r="I265" s="1">
        <v>2009</v>
      </c>
      <c r="L265" t="e">
        <f t="shared" si="36"/>
        <v>#N/A</v>
      </c>
      <c r="M265" t="e">
        <f t="shared" si="37"/>
        <v>#N/A</v>
      </c>
      <c r="N265" t="e">
        <f t="shared" si="38"/>
        <v>#N/A</v>
      </c>
      <c r="O265" t="e">
        <f t="shared" si="39"/>
        <v>#N/A</v>
      </c>
      <c r="P265" t="e">
        <f t="shared" si="40"/>
        <v>#N/A</v>
      </c>
      <c r="Q265" t="e">
        <f t="shared" si="41"/>
        <v>#N/A</v>
      </c>
      <c r="R265">
        <f t="shared" si="42"/>
        <v>229</v>
      </c>
      <c r="S265">
        <f t="shared" si="43"/>
        <v>5950</v>
      </c>
      <c r="T265">
        <f t="shared" si="44"/>
        <v>49.8</v>
      </c>
    </row>
    <row r="266" spans="1:20" ht="16" x14ac:dyDescent="0.2">
      <c r="A266" s="1">
        <v>265</v>
      </c>
      <c r="B266" s="1" t="s">
        <v>24</v>
      </c>
      <c r="C266" s="1" t="s">
        <v>22</v>
      </c>
      <c r="D266" s="1">
        <v>43.5</v>
      </c>
      <c r="E266" s="1">
        <v>15.2</v>
      </c>
      <c r="F266" s="1">
        <v>213</v>
      </c>
      <c r="G266" s="1">
        <v>4650</v>
      </c>
      <c r="H266" s="1" t="s">
        <v>20</v>
      </c>
      <c r="I266" s="1">
        <v>2009</v>
      </c>
      <c r="L266" t="e">
        <f t="shared" si="36"/>
        <v>#N/A</v>
      </c>
      <c r="M266" t="e">
        <f t="shared" si="37"/>
        <v>#N/A</v>
      </c>
      <c r="N266" t="e">
        <f t="shared" si="38"/>
        <v>#N/A</v>
      </c>
      <c r="O266" t="e">
        <f t="shared" si="39"/>
        <v>#N/A</v>
      </c>
      <c r="P266" t="e">
        <f t="shared" si="40"/>
        <v>#N/A</v>
      </c>
      <c r="Q266" t="e">
        <f t="shared" si="41"/>
        <v>#N/A</v>
      </c>
      <c r="R266">
        <f t="shared" si="42"/>
        <v>213</v>
      </c>
      <c r="S266">
        <f t="shared" si="43"/>
        <v>4650</v>
      </c>
      <c r="T266">
        <f t="shared" si="44"/>
        <v>43.5</v>
      </c>
    </row>
    <row r="267" spans="1:20" ht="16" x14ac:dyDescent="0.2">
      <c r="A267" s="1">
        <v>266</v>
      </c>
      <c r="B267" s="1" t="s">
        <v>24</v>
      </c>
      <c r="C267" s="1" t="s">
        <v>22</v>
      </c>
      <c r="D267" s="1">
        <v>51.5</v>
      </c>
      <c r="E267" s="1">
        <v>16.3</v>
      </c>
      <c r="F267" s="1">
        <v>230</v>
      </c>
      <c r="G267" s="1">
        <v>5500</v>
      </c>
      <c r="H267" s="1" t="s">
        <v>19</v>
      </c>
      <c r="I267" s="1">
        <v>2009</v>
      </c>
      <c r="L267" t="e">
        <f t="shared" si="36"/>
        <v>#N/A</v>
      </c>
      <c r="M267" t="e">
        <f t="shared" si="37"/>
        <v>#N/A</v>
      </c>
      <c r="N267" t="e">
        <f t="shared" si="38"/>
        <v>#N/A</v>
      </c>
      <c r="O267" t="e">
        <f t="shared" si="39"/>
        <v>#N/A</v>
      </c>
      <c r="P267" t="e">
        <f t="shared" si="40"/>
        <v>#N/A</v>
      </c>
      <c r="Q267" t="e">
        <f t="shared" si="41"/>
        <v>#N/A</v>
      </c>
      <c r="R267">
        <f t="shared" si="42"/>
        <v>230</v>
      </c>
      <c r="S267">
        <f t="shared" si="43"/>
        <v>5500</v>
      </c>
      <c r="T267">
        <f t="shared" si="44"/>
        <v>51.5</v>
      </c>
    </row>
    <row r="268" spans="1:20" ht="16" x14ac:dyDescent="0.2">
      <c r="A268" s="1">
        <v>267</v>
      </c>
      <c r="B268" s="1" t="s">
        <v>24</v>
      </c>
      <c r="C268" s="1" t="s">
        <v>22</v>
      </c>
      <c r="D268" s="1">
        <v>46.2</v>
      </c>
      <c r="E268" s="1">
        <v>14.1</v>
      </c>
      <c r="F268" s="1">
        <v>217</v>
      </c>
      <c r="G268" s="1">
        <v>4375</v>
      </c>
      <c r="H268" s="1" t="s">
        <v>20</v>
      </c>
      <c r="I268" s="1">
        <v>2009</v>
      </c>
      <c r="L268" t="e">
        <f t="shared" si="36"/>
        <v>#N/A</v>
      </c>
      <c r="M268" t="e">
        <f t="shared" si="37"/>
        <v>#N/A</v>
      </c>
      <c r="N268" t="e">
        <f t="shared" si="38"/>
        <v>#N/A</v>
      </c>
      <c r="O268" t="e">
        <f t="shared" si="39"/>
        <v>#N/A</v>
      </c>
      <c r="P268" t="e">
        <f t="shared" si="40"/>
        <v>#N/A</v>
      </c>
      <c r="Q268" t="e">
        <f t="shared" si="41"/>
        <v>#N/A</v>
      </c>
      <c r="R268">
        <f t="shared" si="42"/>
        <v>217</v>
      </c>
      <c r="S268">
        <f t="shared" si="43"/>
        <v>4375</v>
      </c>
      <c r="T268">
        <f t="shared" si="44"/>
        <v>46.2</v>
      </c>
    </row>
    <row r="269" spans="1:20" ht="16" x14ac:dyDescent="0.2">
      <c r="A269" s="1">
        <v>268</v>
      </c>
      <c r="B269" s="1" t="s">
        <v>24</v>
      </c>
      <c r="C269" s="1" t="s">
        <v>22</v>
      </c>
      <c r="D269" s="1">
        <v>55.1</v>
      </c>
      <c r="E269" s="1">
        <v>16</v>
      </c>
      <c r="F269" s="1">
        <v>230</v>
      </c>
      <c r="G269" s="1">
        <v>5850</v>
      </c>
      <c r="H269" s="1" t="s">
        <v>19</v>
      </c>
      <c r="I269" s="1">
        <v>2009</v>
      </c>
      <c r="L269" t="e">
        <f t="shared" si="36"/>
        <v>#N/A</v>
      </c>
      <c r="M269" t="e">
        <f t="shared" si="37"/>
        <v>#N/A</v>
      </c>
      <c r="N269" t="e">
        <f t="shared" si="38"/>
        <v>#N/A</v>
      </c>
      <c r="O269" t="e">
        <f t="shared" si="39"/>
        <v>#N/A</v>
      </c>
      <c r="P269" t="e">
        <f t="shared" si="40"/>
        <v>#N/A</v>
      </c>
      <c r="Q269" t="e">
        <f t="shared" si="41"/>
        <v>#N/A</v>
      </c>
      <c r="R269">
        <f t="shared" si="42"/>
        <v>230</v>
      </c>
      <c r="S269">
        <f t="shared" si="43"/>
        <v>5850</v>
      </c>
      <c r="T269">
        <f t="shared" si="44"/>
        <v>55.1</v>
      </c>
    </row>
    <row r="270" spans="1:20" ht="16" x14ac:dyDescent="0.2">
      <c r="A270" s="1">
        <v>269</v>
      </c>
      <c r="B270" s="1" t="s">
        <v>24</v>
      </c>
      <c r="C270" s="1" t="s">
        <v>22</v>
      </c>
      <c r="D270" s="1">
        <v>44.5</v>
      </c>
      <c r="E270" s="1">
        <v>15.7</v>
      </c>
      <c r="F270" s="1">
        <v>217</v>
      </c>
      <c r="G270" s="1">
        <v>4875</v>
      </c>
      <c r="H270" s="1" t="s">
        <v>21</v>
      </c>
      <c r="I270" s="1">
        <v>2009</v>
      </c>
      <c r="L270" t="e">
        <f t="shared" si="36"/>
        <v>#N/A</v>
      </c>
      <c r="M270" t="e">
        <f t="shared" si="37"/>
        <v>#N/A</v>
      </c>
      <c r="N270" t="e">
        <f t="shared" si="38"/>
        <v>#N/A</v>
      </c>
      <c r="O270" t="e">
        <f t="shared" si="39"/>
        <v>#N/A</v>
      </c>
      <c r="P270" t="e">
        <f t="shared" si="40"/>
        <v>#N/A</v>
      </c>
      <c r="Q270" t="e">
        <f t="shared" si="41"/>
        <v>#N/A</v>
      </c>
      <c r="R270">
        <f t="shared" si="42"/>
        <v>217</v>
      </c>
      <c r="S270">
        <f t="shared" si="43"/>
        <v>4875</v>
      </c>
      <c r="T270">
        <f t="shared" si="44"/>
        <v>44.5</v>
      </c>
    </row>
    <row r="271" spans="1:20" ht="16" x14ac:dyDescent="0.2">
      <c r="A271" s="1">
        <v>270</v>
      </c>
      <c r="B271" s="1" t="s">
        <v>24</v>
      </c>
      <c r="C271" s="1" t="s">
        <v>22</v>
      </c>
      <c r="D271" s="1">
        <v>48.8</v>
      </c>
      <c r="E271" s="1">
        <v>16.2</v>
      </c>
      <c r="F271" s="1">
        <v>222</v>
      </c>
      <c r="G271" s="1">
        <v>6000</v>
      </c>
      <c r="H271" s="1" t="s">
        <v>19</v>
      </c>
      <c r="I271" s="1">
        <v>2009</v>
      </c>
      <c r="L271" t="e">
        <f t="shared" si="36"/>
        <v>#N/A</v>
      </c>
      <c r="M271" t="e">
        <f t="shared" si="37"/>
        <v>#N/A</v>
      </c>
      <c r="N271" t="e">
        <f t="shared" si="38"/>
        <v>#N/A</v>
      </c>
      <c r="O271" t="e">
        <f t="shared" si="39"/>
        <v>#N/A</v>
      </c>
      <c r="P271" t="e">
        <f t="shared" si="40"/>
        <v>#N/A</v>
      </c>
      <c r="Q271" t="e">
        <f t="shared" si="41"/>
        <v>#N/A</v>
      </c>
      <c r="R271">
        <f t="shared" si="42"/>
        <v>222</v>
      </c>
      <c r="S271">
        <f t="shared" si="43"/>
        <v>6000</v>
      </c>
      <c r="T271">
        <f t="shared" si="44"/>
        <v>48.8</v>
      </c>
    </row>
    <row r="272" spans="1:20" ht="16" x14ac:dyDescent="0.2">
      <c r="A272" s="1">
        <v>271</v>
      </c>
      <c r="B272" s="1" t="s">
        <v>24</v>
      </c>
      <c r="C272" s="1" t="s">
        <v>22</v>
      </c>
      <c r="D272" s="1">
        <v>47.2</v>
      </c>
      <c r="E272" s="1">
        <v>13.7</v>
      </c>
      <c r="F272" s="1">
        <v>214</v>
      </c>
      <c r="G272" s="1">
        <v>4925</v>
      </c>
      <c r="H272" s="1" t="s">
        <v>20</v>
      </c>
      <c r="I272" s="1">
        <v>2009</v>
      </c>
      <c r="L272" t="e">
        <f t="shared" si="36"/>
        <v>#N/A</v>
      </c>
      <c r="M272" t="e">
        <f t="shared" si="37"/>
        <v>#N/A</v>
      </c>
      <c r="N272" t="e">
        <f t="shared" si="38"/>
        <v>#N/A</v>
      </c>
      <c r="O272" t="e">
        <f t="shared" si="39"/>
        <v>#N/A</v>
      </c>
      <c r="P272" t="e">
        <f t="shared" si="40"/>
        <v>#N/A</v>
      </c>
      <c r="Q272" t="e">
        <f t="shared" si="41"/>
        <v>#N/A</v>
      </c>
      <c r="R272">
        <f t="shared" si="42"/>
        <v>214</v>
      </c>
      <c r="S272">
        <f t="shared" si="43"/>
        <v>4925</v>
      </c>
      <c r="T272">
        <f t="shared" si="44"/>
        <v>47.2</v>
      </c>
    </row>
    <row r="273" spans="1:20" ht="16" x14ac:dyDescent="0.2">
      <c r="A273" s="1">
        <v>272</v>
      </c>
      <c r="B273" s="1" t="s">
        <v>24</v>
      </c>
      <c r="C273" s="1" t="s">
        <v>22</v>
      </c>
      <c r="D273" s="1" t="s">
        <v>21</v>
      </c>
      <c r="E273" s="1" t="s">
        <v>21</v>
      </c>
      <c r="F273" s="1" t="s">
        <v>21</v>
      </c>
      <c r="G273" s="1" t="s">
        <v>21</v>
      </c>
      <c r="H273" s="1" t="s">
        <v>21</v>
      </c>
      <c r="I273" s="1">
        <v>2009</v>
      </c>
      <c r="L273" t="e">
        <f t="shared" si="36"/>
        <v>#N/A</v>
      </c>
      <c r="M273" t="e">
        <f t="shared" si="37"/>
        <v>#N/A</v>
      </c>
      <c r="N273" t="e">
        <f t="shared" si="38"/>
        <v>#N/A</v>
      </c>
      <c r="O273" t="e">
        <f t="shared" si="39"/>
        <v>#N/A</v>
      </c>
      <c r="P273" t="e">
        <f t="shared" si="40"/>
        <v>#N/A</v>
      </c>
      <c r="Q273" t="e">
        <f t="shared" si="41"/>
        <v>#N/A</v>
      </c>
      <c r="R273" t="e">
        <f t="shared" si="42"/>
        <v>#N/A</v>
      </c>
      <c r="S273" t="e">
        <f t="shared" si="43"/>
        <v>#N/A</v>
      </c>
      <c r="T273" t="e">
        <f t="shared" si="44"/>
        <v>#N/A</v>
      </c>
    </row>
    <row r="274" spans="1:20" ht="16" x14ac:dyDescent="0.2">
      <c r="A274" s="1">
        <v>273</v>
      </c>
      <c r="B274" s="1" t="s">
        <v>24</v>
      </c>
      <c r="C274" s="1" t="s">
        <v>22</v>
      </c>
      <c r="D274" s="1">
        <v>46.8</v>
      </c>
      <c r="E274" s="1">
        <v>14.3</v>
      </c>
      <c r="F274" s="1">
        <v>215</v>
      </c>
      <c r="G274" s="1">
        <v>4850</v>
      </c>
      <c r="H274" s="1" t="s">
        <v>20</v>
      </c>
      <c r="I274" s="1">
        <v>2009</v>
      </c>
      <c r="L274" t="e">
        <f t="shared" si="36"/>
        <v>#N/A</v>
      </c>
      <c r="M274" t="e">
        <f t="shared" si="37"/>
        <v>#N/A</v>
      </c>
      <c r="N274" t="e">
        <f t="shared" si="38"/>
        <v>#N/A</v>
      </c>
      <c r="O274" t="e">
        <f t="shared" si="39"/>
        <v>#N/A</v>
      </c>
      <c r="P274" t="e">
        <f t="shared" si="40"/>
        <v>#N/A</v>
      </c>
      <c r="Q274" t="e">
        <f t="shared" si="41"/>
        <v>#N/A</v>
      </c>
      <c r="R274">
        <f t="shared" si="42"/>
        <v>215</v>
      </c>
      <c r="S274">
        <f t="shared" si="43"/>
        <v>4850</v>
      </c>
      <c r="T274">
        <f t="shared" si="44"/>
        <v>46.8</v>
      </c>
    </row>
    <row r="275" spans="1:20" ht="16" x14ac:dyDescent="0.2">
      <c r="A275" s="1">
        <v>274</v>
      </c>
      <c r="B275" s="1" t="s">
        <v>24</v>
      </c>
      <c r="C275" s="1" t="s">
        <v>22</v>
      </c>
      <c r="D275" s="1">
        <v>50.4</v>
      </c>
      <c r="E275" s="1">
        <v>15.7</v>
      </c>
      <c r="F275" s="1">
        <v>222</v>
      </c>
      <c r="G275" s="1">
        <v>5750</v>
      </c>
      <c r="H275" s="1" t="s">
        <v>19</v>
      </c>
      <c r="I275" s="1">
        <v>2009</v>
      </c>
      <c r="L275" t="e">
        <f t="shared" si="36"/>
        <v>#N/A</v>
      </c>
      <c r="M275" t="e">
        <f t="shared" si="37"/>
        <v>#N/A</v>
      </c>
      <c r="N275" t="e">
        <f t="shared" si="38"/>
        <v>#N/A</v>
      </c>
      <c r="O275" t="e">
        <f t="shared" si="39"/>
        <v>#N/A</v>
      </c>
      <c r="P275" t="e">
        <f t="shared" si="40"/>
        <v>#N/A</v>
      </c>
      <c r="Q275" t="e">
        <f t="shared" si="41"/>
        <v>#N/A</v>
      </c>
      <c r="R275">
        <f t="shared" si="42"/>
        <v>222</v>
      </c>
      <c r="S275">
        <f t="shared" si="43"/>
        <v>5750</v>
      </c>
      <c r="T275">
        <f t="shared" si="44"/>
        <v>50.4</v>
      </c>
    </row>
    <row r="276" spans="1:20" ht="16" x14ac:dyDescent="0.2">
      <c r="A276" s="1">
        <v>275</v>
      </c>
      <c r="B276" s="1" t="s">
        <v>24</v>
      </c>
      <c r="C276" s="1" t="s">
        <v>22</v>
      </c>
      <c r="D276" s="1">
        <v>45.2</v>
      </c>
      <c r="E276" s="1">
        <v>14.8</v>
      </c>
      <c r="F276" s="1">
        <v>212</v>
      </c>
      <c r="G276" s="1">
        <v>5200</v>
      </c>
      <c r="H276" s="1" t="s">
        <v>20</v>
      </c>
      <c r="I276" s="1">
        <v>2009</v>
      </c>
      <c r="L276" t="e">
        <f t="shared" si="36"/>
        <v>#N/A</v>
      </c>
      <c r="M276" t="e">
        <f t="shared" si="37"/>
        <v>#N/A</v>
      </c>
      <c r="N276" t="e">
        <f t="shared" si="38"/>
        <v>#N/A</v>
      </c>
      <c r="O276" t="e">
        <f t="shared" si="39"/>
        <v>#N/A</v>
      </c>
      <c r="P276" t="e">
        <f t="shared" si="40"/>
        <v>#N/A</v>
      </c>
      <c r="Q276" t="e">
        <f t="shared" si="41"/>
        <v>#N/A</v>
      </c>
      <c r="R276">
        <f t="shared" si="42"/>
        <v>212</v>
      </c>
      <c r="S276">
        <f t="shared" si="43"/>
        <v>5200</v>
      </c>
      <c r="T276">
        <f t="shared" si="44"/>
        <v>45.2</v>
      </c>
    </row>
    <row r="277" spans="1:20" ht="16" x14ac:dyDescent="0.2">
      <c r="A277" s="1">
        <v>276</v>
      </c>
      <c r="B277" s="1" t="s">
        <v>24</v>
      </c>
      <c r="C277" s="1" t="s">
        <v>22</v>
      </c>
      <c r="D277" s="1">
        <v>49.9</v>
      </c>
      <c r="E277" s="1">
        <v>16.100000000000001</v>
      </c>
      <c r="F277" s="1">
        <v>213</v>
      </c>
      <c r="G277" s="1">
        <v>5400</v>
      </c>
      <c r="H277" s="1" t="s">
        <v>19</v>
      </c>
      <c r="I277" s="1">
        <v>2009</v>
      </c>
      <c r="L277" t="e">
        <f t="shared" si="36"/>
        <v>#N/A</v>
      </c>
      <c r="M277" t="e">
        <f t="shared" si="37"/>
        <v>#N/A</v>
      </c>
      <c r="N277" t="e">
        <f t="shared" si="38"/>
        <v>#N/A</v>
      </c>
      <c r="O277" t="e">
        <f t="shared" si="39"/>
        <v>#N/A</v>
      </c>
      <c r="P277" t="e">
        <f t="shared" si="40"/>
        <v>#N/A</v>
      </c>
      <c r="Q277" t="e">
        <f t="shared" si="41"/>
        <v>#N/A</v>
      </c>
      <c r="R277">
        <f t="shared" si="42"/>
        <v>213</v>
      </c>
      <c r="S277">
        <f t="shared" si="43"/>
        <v>5400</v>
      </c>
      <c r="T277">
        <f t="shared" si="44"/>
        <v>49.9</v>
      </c>
    </row>
    <row r="278" spans="1:20" ht="16" x14ac:dyDescent="0.2">
      <c r="A278" s="1">
        <v>277</v>
      </c>
      <c r="B278" s="1" t="s">
        <v>25</v>
      </c>
      <c r="C278" s="1" t="s">
        <v>23</v>
      </c>
      <c r="D278" s="1">
        <v>46.5</v>
      </c>
      <c r="E278" s="1">
        <v>17.899999999999999</v>
      </c>
      <c r="F278" s="1">
        <v>192</v>
      </c>
      <c r="G278" s="1">
        <v>3500</v>
      </c>
      <c r="H278" s="1" t="s">
        <v>20</v>
      </c>
      <c r="I278" s="1">
        <v>2007</v>
      </c>
      <c r="L278" t="e">
        <f t="shared" si="36"/>
        <v>#N/A</v>
      </c>
      <c r="M278" t="e">
        <f t="shared" si="37"/>
        <v>#N/A</v>
      </c>
      <c r="N278" t="e">
        <f t="shared" si="38"/>
        <v>#N/A</v>
      </c>
      <c r="O278">
        <f t="shared" si="39"/>
        <v>192</v>
      </c>
      <c r="P278">
        <f t="shared" si="40"/>
        <v>3500</v>
      </c>
      <c r="Q278">
        <f t="shared" si="41"/>
        <v>46.5</v>
      </c>
      <c r="R278" t="e">
        <f t="shared" si="42"/>
        <v>#N/A</v>
      </c>
      <c r="S278" t="e">
        <f t="shared" si="43"/>
        <v>#N/A</v>
      </c>
      <c r="T278" t="e">
        <f t="shared" si="44"/>
        <v>#N/A</v>
      </c>
    </row>
    <row r="279" spans="1:20" ht="16" x14ac:dyDescent="0.2">
      <c r="A279" s="1">
        <v>278</v>
      </c>
      <c r="B279" s="1" t="s">
        <v>25</v>
      </c>
      <c r="C279" s="1" t="s">
        <v>23</v>
      </c>
      <c r="D279" s="1">
        <v>50</v>
      </c>
      <c r="E279" s="1">
        <v>19.5</v>
      </c>
      <c r="F279" s="1">
        <v>196</v>
      </c>
      <c r="G279" s="1">
        <v>3900</v>
      </c>
      <c r="H279" s="1" t="s">
        <v>19</v>
      </c>
      <c r="I279" s="1">
        <v>2007</v>
      </c>
      <c r="L279" t="e">
        <f t="shared" si="36"/>
        <v>#N/A</v>
      </c>
      <c r="M279" t="e">
        <f t="shared" si="37"/>
        <v>#N/A</v>
      </c>
      <c r="N279" t="e">
        <f t="shared" si="38"/>
        <v>#N/A</v>
      </c>
      <c r="O279">
        <f t="shared" si="39"/>
        <v>196</v>
      </c>
      <c r="P279">
        <f t="shared" si="40"/>
        <v>3900</v>
      </c>
      <c r="Q279">
        <f t="shared" si="41"/>
        <v>50</v>
      </c>
      <c r="R279" t="e">
        <f t="shared" si="42"/>
        <v>#N/A</v>
      </c>
      <c r="S279" t="e">
        <f t="shared" si="43"/>
        <v>#N/A</v>
      </c>
      <c r="T279" t="e">
        <f t="shared" si="44"/>
        <v>#N/A</v>
      </c>
    </row>
    <row r="280" spans="1:20" ht="16" x14ac:dyDescent="0.2">
      <c r="A280" s="1">
        <v>279</v>
      </c>
      <c r="B280" s="1" t="s">
        <v>25</v>
      </c>
      <c r="C280" s="1" t="s">
        <v>23</v>
      </c>
      <c r="D280" s="1">
        <v>51.3</v>
      </c>
      <c r="E280" s="1">
        <v>19.2</v>
      </c>
      <c r="F280" s="1">
        <v>193</v>
      </c>
      <c r="G280" s="1">
        <v>3650</v>
      </c>
      <c r="H280" s="1" t="s">
        <v>19</v>
      </c>
      <c r="I280" s="1">
        <v>2007</v>
      </c>
      <c r="L280" t="e">
        <f t="shared" si="36"/>
        <v>#N/A</v>
      </c>
      <c r="M280" t="e">
        <f t="shared" si="37"/>
        <v>#N/A</v>
      </c>
      <c r="N280" t="e">
        <f t="shared" si="38"/>
        <v>#N/A</v>
      </c>
      <c r="O280">
        <f t="shared" si="39"/>
        <v>193</v>
      </c>
      <c r="P280">
        <f t="shared" si="40"/>
        <v>3650</v>
      </c>
      <c r="Q280">
        <f t="shared" si="41"/>
        <v>51.3</v>
      </c>
      <c r="R280" t="e">
        <f t="shared" si="42"/>
        <v>#N/A</v>
      </c>
      <c r="S280" t="e">
        <f t="shared" si="43"/>
        <v>#N/A</v>
      </c>
      <c r="T280" t="e">
        <f t="shared" si="44"/>
        <v>#N/A</v>
      </c>
    </row>
    <row r="281" spans="1:20" ht="16" x14ac:dyDescent="0.2">
      <c r="A281" s="1">
        <v>280</v>
      </c>
      <c r="B281" s="1" t="s">
        <v>25</v>
      </c>
      <c r="C281" s="1" t="s">
        <v>23</v>
      </c>
      <c r="D281" s="1">
        <v>45.4</v>
      </c>
      <c r="E281" s="1">
        <v>18.7</v>
      </c>
      <c r="F281" s="1">
        <v>188</v>
      </c>
      <c r="G281" s="1">
        <v>3525</v>
      </c>
      <c r="H281" s="1" t="s">
        <v>20</v>
      </c>
      <c r="I281" s="1">
        <v>2007</v>
      </c>
      <c r="L281" t="e">
        <f t="shared" si="36"/>
        <v>#N/A</v>
      </c>
      <c r="M281" t="e">
        <f t="shared" si="37"/>
        <v>#N/A</v>
      </c>
      <c r="N281" t="e">
        <f t="shared" si="38"/>
        <v>#N/A</v>
      </c>
      <c r="O281">
        <f t="shared" si="39"/>
        <v>188</v>
      </c>
      <c r="P281">
        <f t="shared" si="40"/>
        <v>3525</v>
      </c>
      <c r="Q281">
        <f t="shared" si="41"/>
        <v>45.4</v>
      </c>
      <c r="R281" t="e">
        <f t="shared" si="42"/>
        <v>#N/A</v>
      </c>
      <c r="S281" t="e">
        <f t="shared" si="43"/>
        <v>#N/A</v>
      </c>
      <c r="T281" t="e">
        <f t="shared" si="44"/>
        <v>#N/A</v>
      </c>
    </row>
    <row r="282" spans="1:20" ht="16" x14ac:dyDescent="0.2">
      <c r="A282" s="1">
        <v>281</v>
      </c>
      <c r="B282" s="1" t="s">
        <v>25</v>
      </c>
      <c r="C282" s="1" t="s">
        <v>23</v>
      </c>
      <c r="D282" s="1">
        <v>52.7</v>
      </c>
      <c r="E282" s="1">
        <v>19.8</v>
      </c>
      <c r="F282" s="1">
        <v>197</v>
      </c>
      <c r="G282" s="1">
        <v>3725</v>
      </c>
      <c r="H282" s="1" t="s">
        <v>19</v>
      </c>
      <c r="I282" s="1">
        <v>2007</v>
      </c>
      <c r="L282" t="e">
        <f t="shared" si="36"/>
        <v>#N/A</v>
      </c>
      <c r="M282" t="e">
        <f t="shared" si="37"/>
        <v>#N/A</v>
      </c>
      <c r="N282" t="e">
        <f t="shared" si="38"/>
        <v>#N/A</v>
      </c>
      <c r="O282">
        <f t="shared" si="39"/>
        <v>197</v>
      </c>
      <c r="P282">
        <f t="shared" si="40"/>
        <v>3725</v>
      </c>
      <c r="Q282">
        <f t="shared" si="41"/>
        <v>52.7</v>
      </c>
      <c r="R282" t="e">
        <f t="shared" si="42"/>
        <v>#N/A</v>
      </c>
      <c r="S282" t="e">
        <f t="shared" si="43"/>
        <v>#N/A</v>
      </c>
      <c r="T282" t="e">
        <f t="shared" si="44"/>
        <v>#N/A</v>
      </c>
    </row>
    <row r="283" spans="1:20" ht="16" x14ac:dyDescent="0.2">
      <c r="A283" s="1">
        <v>282</v>
      </c>
      <c r="B283" s="1" t="s">
        <v>25</v>
      </c>
      <c r="C283" s="1" t="s">
        <v>23</v>
      </c>
      <c r="D283" s="1">
        <v>45.2</v>
      </c>
      <c r="E283" s="1">
        <v>17.8</v>
      </c>
      <c r="F283" s="1">
        <v>198</v>
      </c>
      <c r="G283" s="1">
        <v>3950</v>
      </c>
      <c r="H283" s="1" t="s">
        <v>20</v>
      </c>
      <c r="I283" s="1">
        <v>2007</v>
      </c>
      <c r="L283" t="e">
        <f t="shared" si="36"/>
        <v>#N/A</v>
      </c>
      <c r="M283" t="e">
        <f t="shared" si="37"/>
        <v>#N/A</v>
      </c>
      <c r="N283" t="e">
        <f t="shared" si="38"/>
        <v>#N/A</v>
      </c>
      <c r="O283">
        <f t="shared" si="39"/>
        <v>198</v>
      </c>
      <c r="P283">
        <f t="shared" si="40"/>
        <v>3950</v>
      </c>
      <c r="Q283">
        <f t="shared" si="41"/>
        <v>45.2</v>
      </c>
      <c r="R283" t="e">
        <f t="shared" si="42"/>
        <v>#N/A</v>
      </c>
      <c r="S283" t="e">
        <f t="shared" si="43"/>
        <v>#N/A</v>
      </c>
      <c r="T283" t="e">
        <f t="shared" si="44"/>
        <v>#N/A</v>
      </c>
    </row>
    <row r="284" spans="1:20" ht="16" x14ac:dyDescent="0.2">
      <c r="A284" s="1">
        <v>283</v>
      </c>
      <c r="B284" s="1" t="s">
        <v>25</v>
      </c>
      <c r="C284" s="1" t="s">
        <v>23</v>
      </c>
      <c r="D284" s="1">
        <v>46.1</v>
      </c>
      <c r="E284" s="1">
        <v>18.2</v>
      </c>
      <c r="F284" s="1">
        <v>178</v>
      </c>
      <c r="G284" s="1">
        <v>3250</v>
      </c>
      <c r="H284" s="1" t="s">
        <v>20</v>
      </c>
      <c r="I284" s="1">
        <v>2007</v>
      </c>
      <c r="L284" t="e">
        <f t="shared" si="36"/>
        <v>#N/A</v>
      </c>
      <c r="M284" t="e">
        <f t="shared" si="37"/>
        <v>#N/A</v>
      </c>
      <c r="N284" t="e">
        <f t="shared" si="38"/>
        <v>#N/A</v>
      </c>
      <c r="O284">
        <f t="shared" si="39"/>
        <v>178</v>
      </c>
      <c r="P284">
        <f t="shared" si="40"/>
        <v>3250</v>
      </c>
      <c r="Q284">
        <f t="shared" si="41"/>
        <v>46.1</v>
      </c>
      <c r="R284" t="e">
        <f t="shared" si="42"/>
        <v>#N/A</v>
      </c>
      <c r="S284" t="e">
        <f t="shared" si="43"/>
        <v>#N/A</v>
      </c>
      <c r="T284" t="e">
        <f t="shared" si="44"/>
        <v>#N/A</v>
      </c>
    </row>
    <row r="285" spans="1:20" ht="16" x14ac:dyDescent="0.2">
      <c r="A285" s="1">
        <v>284</v>
      </c>
      <c r="B285" s="1" t="s">
        <v>25</v>
      </c>
      <c r="C285" s="1" t="s">
        <v>23</v>
      </c>
      <c r="D285" s="1">
        <v>51.3</v>
      </c>
      <c r="E285" s="1">
        <v>18.2</v>
      </c>
      <c r="F285" s="1">
        <v>197</v>
      </c>
      <c r="G285" s="1">
        <v>3750</v>
      </c>
      <c r="H285" s="1" t="s">
        <v>19</v>
      </c>
      <c r="I285" s="1">
        <v>2007</v>
      </c>
      <c r="L285" t="e">
        <f t="shared" si="36"/>
        <v>#N/A</v>
      </c>
      <c r="M285" t="e">
        <f t="shared" si="37"/>
        <v>#N/A</v>
      </c>
      <c r="N285" t="e">
        <f t="shared" si="38"/>
        <v>#N/A</v>
      </c>
      <c r="O285">
        <f t="shared" si="39"/>
        <v>197</v>
      </c>
      <c r="P285">
        <f t="shared" si="40"/>
        <v>3750</v>
      </c>
      <c r="Q285">
        <f t="shared" si="41"/>
        <v>51.3</v>
      </c>
      <c r="R285" t="e">
        <f t="shared" si="42"/>
        <v>#N/A</v>
      </c>
      <c r="S285" t="e">
        <f t="shared" si="43"/>
        <v>#N/A</v>
      </c>
      <c r="T285" t="e">
        <f t="shared" si="44"/>
        <v>#N/A</v>
      </c>
    </row>
    <row r="286" spans="1:20" ht="16" x14ac:dyDescent="0.2">
      <c r="A286" s="1">
        <v>285</v>
      </c>
      <c r="B286" s="1" t="s">
        <v>25</v>
      </c>
      <c r="C286" s="1" t="s">
        <v>23</v>
      </c>
      <c r="D286" s="1">
        <v>46</v>
      </c>
      <c r="E286" s="1">
        <v>18.899999999999999</v>
      </c>
      <c r="F286" s="1">
        <v>195</v>
      </c>
      <c r="G286" s="1">
        <v>4150</v>
      </c>
      <c r="H286" s="1" t="s">
        <v>20</v>
      </c>
      <c r="I286" s="1">
        <v>2007</v>
      </c>
      <c r="L286" t="e">
        <f t="shared" si="36"/>
        <v>#N/A</v>
      </c>
      <c r="M286" t="e">
        <f t="shared" si="37"/>
        <v>#N/A</v>
      </c>
      <c r="N286" t="e">
        <f t="shared" si="38"/>
        <v>#N/A</v>
      </c>
      <c r="O286">
        <f t="shared" si="39"/>
        <v>195</v>
      </c>
      <c r="P286">
        <f t="shared" si="40"/>
        <v>4150</v>
      </c>
      <c r="Q286">
        <f t="shared" si="41"/>
        <v>46</v>
      </c>
      <c r="R286" t="e">
        <f t="shared" si="42"/>
        <v>#N/A</v>
      </c>
      <c r="S286" t="e">
        <f t="shared" si="43"/>
        <v>#N/A</v>
      </c>
      <c r="T286" t="e">
        <f t="shared" si="44"/>
        <v>#N/A</v>
      </c>
    </row>
    <row r="287" spans="1:20" ht="16" x14ac:dyDescent="0.2">
      <c r="A287" s="1">
        <v>286</v>
      </c>
      <c r="B287" s="1" t="s">
        <v>25</v>
      </c>
      <c r="C287" s="1" t="s">
        <v>23</v>
      </c>
      <c r="D287" s="1">
        <v>51.3</v>
      </c>
      <c r="E287" s="1">
        <v>19.899999999999999</v>
      </c>
      <c r="F287" s="1">
        <v>198</v>
      </c>
      <c r="G287" s="1">
        <v>3700</v>
      </c>
      <c r="H287" s="1" t="s">
        <v>19</v>
      </c>
      <c r="I287" s="1">
        <v>2007</v>
      </c>
      <c r="L287" t="e">
        <f t="shared" si="36"/>
        <v>#N/A</v>
      </c>
      <c r="M287" t="e">
        <f t="shared" si="37"/>
        <v>#N/A</v>
      </c>
      <c r="N287" t="e">
        <f t="shared" si="38"/>
        <v>#N/A</v>
      </c>
      <c r="O287">
        <f t="shared" si="39"/>
        <v>198</v>
      </c>
      <c r="P287">
        <f t="shared" si="40"/>
        <v>3700</v>
      </c>
      <c r="Q287">
        <f t="shared" si="41"/>
        <v>51.3</v>
      </c>
      <c r="R287" t="e">
        <f t="shared" si="42"/>
        <v>#N/A</v>
      </c>
      <c r="S287" t="e">
        <f t="shared" si="43"/>
        <v>#N/A</v>
      </c>
      <c r="T287" t="e">
        <f t="shared" si="44"/>
        <v>#N/A</v>
      </c>
    </row>
    <row r="288" spans="1:20" ht="16" x14ac:dyDescent="0.2">
      <c r="A288" s="1">
        <v>287</v>
      </c>
      <c r="B288" s="1" t="s">
        <v>25</v>
      </c>
      <c r="C288" s="1" t="s">
        <v>23</v>
      </c>
      <c r="D288" s="1">
        <v>46.6</v>
      </c>
      <c r="E288" s="1">
        <v>17.8</v>
      </c>
      <c r="F288" s="1">
        <v>193</v>
      </c>
      <c r="G288" s="1">
        <v>3800</v>
      </c>
      <c r="H288" s="1" t="s">
        <v>20</v>
      </c>
      <c r="I288" s="1">
        <v>2007</v>
      </c>
      <c r="L288" t="e">
        <f t="shared" si="36"/>
        <v>#N/A</v>
      </c>
      <c r="M288" t="e">
        <f t="shared" si="37"/>
        <v>#N/A</v>
      </c>
      <c r="N288" t="e">
        <f t="shared" si="38"/>
        <v>#N/A</v>
      </c>
      <c r="O288">
        <f t="shared" si="39"/>
        <v>193</v>
      </c>
      <c r="P288">
        <f t="shared" si="40"/>
        <v>3800</v>
      </c>
      <c r="Q288">
        <f t="shared" si="41"/>
        <v>46.6</v>
      </c>
      <c r="R288" t="e">
        <f t="shared" si="42"/>
        <v>#N/A</v>
      </c>
      <c r="S288" t="e">
        <f t="shared" si="43"/>
        <v>#N/A</v>
      </c>
      <c r="T288" t="e">
        <f t="shared" si="44"/>
        <v>#N/A</v>
      </c>
    </row>
    <row r="289" spans="1:20" ht="16" x14ac:dyDescent="0.2">
      <c r="A289" s="1">
        <v>288</v>
      </c>
      <c r="B289" s="1" t="s">
        <v>25</v>
      </c>
      <c r="C289" s="1" t="s">
        <v>23</v>
      </c>
      <c r="D289" s="1">
        <v>51.7</v>
      </c>
      <c r="E289" s="1">
        <v>20.3</v>
      </c>
      <c r="F289" s="1">
        <v>194</v>
      </c>
      <c r="G289" s="1">
        <v>3775</v>
      </c>
      <c r="H289" s="1" t="s">
        <v>19</v>
      </c>
      <c r="I289" s="1">
        <v>2007</v>
      </c>
      <c r="L289" t="e">
        <f t="shared" si="36"/>
        <v>#N/A</v>
      </c>
      <c r="M289" t="e">
        <f t="shared" si="37"/>
        <v>#N/A</v>
      </c>
      <c r="N289" t="e">
        <f t="shared" si="38"/>
        <v>#N/A</v>
      </c>
      <c r="O289">
        <f t="shared" si="39"/>
        <v>194</v>
      </c>
      <c r="P289">
        <f t="shared" si="40"/>
        <v>3775</v>
      </c>
      <c r="Q289">
        <f t="shared" si="41"/>
        <v>51.7</v>
      </c>
      <c r="R289" t="e">
        <f t="shared" si="42"/>
        <v>#N/A</v>
      </c>
      <c r="S289" t="e">
        <f t="shared" si="43"/>
        <v>#N/A</v>
      </c>
      <c r="T289" t="e">
        <f t="shared" si="44"/>
        <v>#N/A</v>
      </c>
    </row>
    <row r="290" spans="1:20" ht="16" x14ac:dyDescent="0.2">
      <c r="A290" s="1">
        <v>289</v>
      </c>
      <c r="B290" s="1" t="s">
        <v>25</v>
      </c>
      <c r="C290" s="1" t="s">
        <v>23</v>
      </c>
      <c r="D290" s="1">
        <v>47</v>
      </c>
      <c r="E290" s="1">
        <v>17.3</v>
      </c>
      <c r="F290" s="1">
        <v>185</v>
      </c>
      <c r="G290" s="1">
        <v>3700</v>
      </c>
      <c r="H290" s="1" t="s">
        <v>20</v>
      </c>
      <c r="I290" s="1">
        <v>2007</v>
      </c>
      <c r="L290" t="e">
        <f t="shared" si="36"/>
        <v>#N/A</v>
      </c>
      <c r="M290" t="e">
        <f t="shared" si="37"/>
        <v>#N/A</v>
      </c>
      <c r="N290" t="e">
        <f t="shared" si="38"/>
        <v>#N/A</v>
      </c>
      <c r="O290">
        <f t="shared" si="39"/>
        <v>185</v>
      </c>
      <c r="P290">
        <f t="shared" si="40"/>
        <v>3700</v>
      </c>
      <c r="Q290">
        <f t="shared" si="41"/>
        <v>47</v>
      </c>
      <c r="R290" t="e">
        <f t="shared" si="42"/>
        <v>#N/A</v>
      </c>
      <c r="S290" t="e">
        <f t="shared" si="43"/>
        <v>#N/A</v>
      </c>
      <c r="T290" t="e">
        <f t="shared" si="44"/>
        <v>#N/A</v>
      </c>
    </row>
    <row r="291" spans="1:20" ht="16" x14ac:dyDescent="0.2">
      <c r="A291" s="1">
        <v>290</v>
      </c>
      <c r="B291" s="1" t="s">
        <v>25</v>
      </c>
      <c r="C291" s="1" t="s">
        <v>23</v>
      </c>
      <c r="D291" s="1">
        <v>52</v>
      </c>
      <c r="E291" s="1">
        <v>18.100000000000001</v>
      </c>
      <c r="F291" s="1">
        <v>201</v>
      </c>
      <c r="G291" s="1">
        <v>4050</v>
      </c>
      <c r="H291" s="1" t="s">
        <v>19</v>
      </c>
      <c r="I291" s="1">
        <v>2007</v>
      </c>
      <c r="L291" t="e">
        <f t="shared" si="36"/>
        <v>#N/A</v>
      </c>
      <c r="M291" t="e">
        <f t="shared" si="37"/>
        <v>#N/A</v>
      </c>
      <c r="N291" t="e">
        <f t="shared" si="38"/>
        <v>#N/A</v>
      </c>
      <c r="O291">
        <f t="shared" si="39"/>
        <v>201</v>
      </c>
      <c r="P291">
        <f t="shared" si="40"/>
        <v>4050</v>
      </c>
      <c r="Q291">
        <f t="shared" si="41"/>
        <v>52</v>
      </c>
      <c r="R291" t="e">
        <f t="shared" si="42"/>
        <v>#N/A</v>
      </c>
      <c r="S291" t="e">
        <f t="shared" si="43"/>
        <v>#N/A</v>
      </c>
      <c r="T291" t="e">
        <f t="shared" si="44"/>
        <v>#N/A</v>
      </c>
    </row>
    <row r="292" spans="1:20" ht="16" x14ac:dyDescent="0.2">
      <c r="A292" s="1">
        <v>291</v>
      </c>
      <c r="B292" s="1" t="s">
        <v>25</v>
      </c>
      <c r="C292" s="1" t="s">
        <v>23</v>
      </c>
      <c r="D292" s="1">
        <v>45.9</v>
      </c>
      <c r="E292" s="1">
        <v>17.100000000000001</v>
      </c>
      <c r="F292" s="1">
        <v>190</v>
      </c>
      <c r="G292" s="1">
        <v>3575</v>
      </c>
      <c r="H292" s="1" t="s">
        <v>20</v>
      </c>
      <c r="I292" s="1">
        <v>2007</v>
      </c>
      <c r="L292" t="e">
        <f t="shared" si="36"/>
        <v>#N/A</v>
      </c>
      <c r="M292" t="e">
        <f t="shared" si="37"/>
        <v>#N/A</v>
      </c>
      <c r="N292" t="e">
        <f t="shared" si="38"/>
        <v>#N/A</v>
      </c>
      <c r="O292">
        <f t="shared" si="39"/>
        <v>190</v>
      </c>
      <c r="P292">
        <f t="shared" si="40"/>
        <v>3575</v>
      </c>
      <c r="Q292">
        <f t="shared" si="41"/>
        <v>45.9</v>
      </c>
      <c r="R292" t="e">
        <f t="shared" si="42"/>
        <v>#N/A</v>
      </c>
      <c r="S292" t="e">
        <f t="shared" si="43"/>
        <v>#N/A</v>
      </c>
      <c r="T292" t="e">
        <f t="shared" si="44"/>
        <v>#N/A</v>
      </c>
    </row>
    <row r="293" spans="1:20" ht="16" x14ac:dyDescent="0.2">
      <c r="A293" s="1">
        <v>292</v>
      </c>
      <c r="B293" s="1" t="s">
        <v>25</v>
      </c>
      <c r="C293" s="1" t="s">
        <v>23</v>
      </c>
      <c r="D293" s="1">
        <v>50.5</v>
      </c>
      <c r="E293" s="1">
        <v>19.600000000000001</v>
      </c>
      <c r="F293" s="1">
        <v>201</v>
      </c>
      <c r="G293" s="1">
        <v>4050</v>
      </c>
      <c r="H293" s="1" t="s">
        <v>19</v>
      </c>
      <c r="I293" s="1">
        <v>2007</v>
      </c>
      <c r="L293" t="e">
        <f t="shared" si="36"/>
        <v>#N/A</v>
      </c>
      <c r="M293" t="e">
        <f t="shared" si="37"/>
        <v>#N/A</v>
      </c>
      <c r="N293" t="e">
        <f t="shared" si="38"/>
        <v>#N/A</v>
      </c>
      <c r="O293">
        <f t="shared" si="39"/>
        <v>201</v>
      </c>
      <c r="P293">
        <f t="shared" si="40"/>
        <v>4050</v>
      </c>
      <c r="Q293">
        <f t="shared" si="41"/>
        <v>50.5</v>
      </c>
      <c r="R293" t="e">
        <f t="shared" si="42"/>
        <v>#N/A</v>
      </c>
      <c r="S293" t="e">
        <f t="shared" si="43"/>
        <v>#N/A</v>
      </c>
      <c r="T293" t="e">
        <f t="shared" si="44"/>
        <v>#N/A</v>
      </c>
    </row>
    <row r="294" spans="1:20" ht="16" x14ac:dyDescent="0.2">
      <c r="A294" s="1">
        <v>293</v>
      </c>
      <c r="B294" s="1" t="s">
        <v>25</v>
      </c>
      <c r="C294" s="1" t="s">
        <v>23</v>
      </c>
      <c r="D294" s="1">
        <v>50.3</v>
      </c>
      <c r="E294" s="1">
        <v>20</v>
      </c>
      <c r="F294" s="1">
        <v>197</v>
      </c>
      <c r="G294" s="1">
        <v>3300</v>
      </c>
      <c r="H294" s="1" t="s">
        <v>19</v>
      </c>
      <c r="I294" s="1">
        <v>2007</v>
      </c>
      <c r="L294" t="e">
        <f t="shared" si="36"/>
        <v>#N/A</v>
      </c>
      <c r="M294" t="e">
        <f t="shared" si="37"/>
        <v>#N/A</v>
      </c>
      <c r="N294" t="e">
        <f t="shared" si="38"/>
        <v>#N/A</v>
      </c>
      <c r="O294">
        <f t="shared" si="39"/>
        <v>197</v>
      </c>
      <c r="P294">
        <f t="shared" si="40"/>
        <v>3300</v>
      </c>
      <c r="Q294">
        <f t="shared" si="41"/>
        <v>50.3</v>
      </c>
      <c r="R294" t="e">
        <f t="shared" si="42"/>
        <v>#N/A</v>
      </c>
      <c r="S294" t="e">
        <f t="shared" si="43"/>
        <v>#N/A</v>
      </c>
      <c r="T294" t="e">
        <f t="shared" si="44"/>
        <v>#N/A</v>
      </c>
    </row>
    <row r="295" spans="1:20" ht="16" x14ac:dyDescent="0.2">
      <c r="A295" s="1">
        <v>294</v>
      </c>
      <c r="B295" s="1" t="s">
        <v>25</v>
      </c>
      <c r="C295" s="1" t="s">
        <v>23</v>
      </c>
      <c r="D295" s="1">
        <v>58</v>
      </c>
      <c r="E295" s="1">
        <v>17.8</v>
      </c>
      <c r="F295" s="1">
        <v>181</v>
      </c>
      <c r="G295" s="1">
        <v>3700</v>
      </c>
      <c r="H295" s="1" t="s">
        <v>20</v>
      </c>
      <c r="I295" s="1">
        <v>2007</v>
      </c>
      <c r="L295" t="e">
        <f t="shared" si="36"/>
        <v>#N/A</v>
      </c>
      <c r="M295" t="e">
        <f t="shared" si="37"/>
        <v>#N/A</v>
      </c>
      <c r="N295" t="e">
        <f t="shared" si="38"/>
        <v>#N/A</v>
      </c>
      <c r="O295">
        <f t="shared" si="39"/>
        <v>181</v>
      </c>
      <c r="P295">
        <f t="shared" si="40"/>
        <v>3700</v>
      </c>
      <c r="Q295">
        <f t="shared" si="41"/>
        <v>58</v>
      </c>
      <c r="R295" t="e">
        <f t="shared" si="42"/>
        <v>#N/A</v>
      </c>
      <c r="S295" t="e">
        <f t="shared" si="43"/>
        <v>#N/A</v>
      </c>
      <c r="T295" t="e">
        <f t="shared" si="44"/>
        <v>#N/A</v>
      </c>
    </row>
    <row r="296" spans="1:20" ht="16" x14ac:dyDescent="0.2">
      <c r="A296" s="1">
        <v>295</v>
      </c>
      <c r="B296" s="1" t="s">
        <v>25</v>
      </c>
      <c r="C296" s="1" t="s">
        <v>23</v>
      </c>
      <c r="D296" s="1">
        <v>46.4</v>
      </c>
      <c r="E296" s="1">
        <v>18.600000000000001</v>
      </c>
      <c r="F296" s="1">
        <v>190</v>
      </c>
      <c r="G296" s="1">
        <v>3450</v>
      </c>
      <c r="H296" s="1" t="s">
        <v>20</v>
      </c>
      <c r="I296" s="1">
        <v>2007</v>
      </c>
      <c r="L296" t="e">
        <f t="shared" si="36"/>
        <v>#N/A</v>
      </c>
      <c r="M296" t="e">
        <f t="shared" si="37"/>
        <v>#N/A</v>
      </c>
      <c r="N296" t="e">
        <f t="shared" si="38"/>
        <v>#N/A</v>
      </c>
      <c r="O296">
        <f t="shared" si="39"/>
        <v>190</v>
      </c>
      <c r="P296">
        <f t="shared" si="40"/>
        <v>3450</v>
      </c>
      <c r="Q296">
        <f t="shared" si="41"/>
        <v>46.4</v>
      </c>
      <c r="R296" t="e">
        <f t="shared" si="42"/>
        <v>#N/A</v>
      </c>
      <c r="S296" t="e">
        <f t="shared" si="43"/>
        <v>#N/A</v>
      </c>
      <c r="T296" t="e">
        <f t="shared" si="44"/>
        <v>#N/A</v>
      </c>
    </row>
    <row r="297" spans="1:20" ht="16" x14ac:dyDescent="0.2">
      <c r="A297" s="1">
        <v>296</v>
      </c>
      <c r="B297" s="1" t="s">
        <v>25</v>
      </c>
      <c r="C297" s="1" t="s">
        <v>23</v>
      </c>
      <c r="D297" s="1">
        <v>49.2</v>
      </c>
      <c r="E297" s="1">
        <v>18.2</v>
      </c>
      <c r="F297" s="1">
        <v>195</v>
      </c>
      <c r="G297" s="1">
        <v>4400</v>
      </c>
      <c r="H297" s="1" t="s">
        <v>19</v>
      </c>
      <c r="I297" s="1">
        <v>2007</v>
      </c>
      <c r="L297" t="e">
        <f t="shared" si="36"/>
        <v>#N/A</v>
      </c>
      <c r="M297" t="e">
        <f t="shared" si="37"/>
        <v>#N/A</v>
      </c>
      <c r="N297" t="e">
        <f t="shared" si="38"/>
        <v>#N/A</v>
      </c>
      <c r="O297">
        <f t="shared" si="39"/>
        <v>195</v>
      </c>
      <c r="P297">
        <f t="shared" si="40"/>
        <v>4400</v>
      </c>
      <c r="Q297">
        <f t="shared" si="41"/>
        <v>49.2</v>
      </c>
      <c r="R297" t="e">
        <f t="shared" si="42"/>
        <v>#N/A</v>
      </c>
      <c r="S297" t="e">
        <f t="shared" si="43"/>
        <v>#N/A</v>
      </c>
      <c r="T297" t="e">
        <f t="shared" si="44"/>
        <v>#N/A</v>
      </c>
    </row>
    <row r="298" spans="1:20" ht="16" x14ac:dyDescent="0.2">
      <c r="A298" s="1">
        <v>297</v>
      </c>
      <c r="B298" s="1" t="s">
        <v>25</v>
      </c>
      <c r="C298" s="1" t="s">
        <v>23</v>
      </c>
      <c r="D298" s="1">
        <v>42.4</v>
      </c>
      <c r="E298" s="1">
        <v>17.3</v>
      </c>
      <c r="F298" s="1">
        <v>181</v>
      </c>
      <c r="G298" s="1">
        <v>3600</v>
      </c>
      <c r="H298" s="1" t="s">
        <v>20</v>
      </c>
      <c r="I298" s="1">
        <v>2007</v>
      </c>
      <c r="L298" t="e">
        <f t="shared" si="36"/>
        <v>#N/A</v>
      </c>
      <c r="M298" t="e">
        <f t="shared" si="37"/>
        <v>#N/A</v>
      </c>
      <c r="N298" t="e">
        <f t="shared" si="38"/>
        <v>#N/A</v>
      </c>
      <c r="O298">
        <f t="shared" si="39"/>
        <v>181</v>
      </c>
      <c r="P298">
        <f t="shared" si="40"/>
        <v>3600</v>
      </c>
      <c r="Q298">
        <f t="shared" si="41"/>
        <v>42.4</v>
      </c>
      <c r="R298" t="e">
        <f t="shared" si="42"/>
        <v>#N/A</v>
      </c>
      <c r="S298" t="e">
        <f t="shared" si="43"/>
        <v>#N/A</v>
      </c>
      <c r="T298" t="e">
        <f t="shared" si="44"/>
        <v>#N/A</v>
      </c>
    </row>
    <row r="299" spans="1:20" ht="16" x14ac:dyDescent="0.2">
      <c r="A299" s="1">
        <v>298</v>
      </c>
      <c r="B299" s="1" t="s">
        <v>25</v>
      </c>
      <c r="C299" s="1" t="s">
        <v>23</v>
      </c>
      <c r="D299" s="1">
        <v>48.5</v>
      </c>
      <c r="E299" s="1">
        <v>17.5</v>
      </c>
      <c r="F299" s="1">
        <v>191</v>
      </c>
      <c r="G299" s="1">
        <v>3400</v>
      </c>
      <c r="H299" s="1" t="s">
        <v>19</v>
      </c>
      <c r="I299" s="1">
        <v>2007</v>
      </c>
      <c r="L299" t="e">
        <f t="shared" si="36"/>
        <v>#N/A</v>
      </c>
      <c r="M299" t="e">
        <f t="shared" si="37"/>
        <v>#N/A</v>
      </c>
      <c r="N299" t="e">
        <f t="shared" si="38"/>
        <v>#N/A</v>
      </c>
      <c r="O299">
        <f t="shared" si="39"/>
        <v>191</v>
      </c>
      <c r="P299">
        <f t="shared" si="40"/>
        <v>3400</v>
      </c>
      <c r="Q299">
        <f t="shared" si="41"/>
        <v>48.5</v>
      </c>
      <c r="R299" t="e">
        <f t="shared" si="42"/>
        <v>#N/A</v>
      </c>
      <c r="S299" t="e">
        <f t="shared" si="43"/>
        <v>#N/A</v>
      </c>
      <c r="T299" t="e">
        <f t="shared" si="44"/>
        <v>#N/A</v>
      </c>
    </row>
    <row r="300" spans="1:20" ht="16" x14ac:dyDescent="0.2">
      <c r="A300" s="1">
        <v>299</v>
      </c>
      <c r="B300" s="1" t="s">
        <v>25</v>
      </c>
      <c r="C300" s="1" t="s">
        <v>23</v>
      </c>
      <c r="D300" s="1">
        <v>43.2</v>
      </c>
      <c r="E300" s="1">
        <v>16.600000000000001</v>
      </c>
      <c r="F300" s="1">
        <v>187</v>
      </c>
      <c r="G300" s="1">
        <v>2900</v>
      </c>
      <c r="H300" s="1" t="s">
        <v>20</v>
      </c>
      <c r="I300" s="1">
        <v>2007</v>
      </c>
      <c r="L300" t="e">
        <f t="shared" si="36"/>
        <v>#N/A</v>
      </c>
      <c r="M300" t="e">
        <f t="shared" si="37"/>
        <v>#N/A</v>
      </c>
      <c r="N300" t="e">
        <f t="shared" si="38"/>
        <v>#N/A</v>
      </c>
      <c r="O300">
        <f t="shared" si="39"/>
        <v>187</v>
      </c>
      <c r="P300">
        <f t="shared" si="40"/>
        <v>2900</v>
      </c>
      <c r="Q300">
        <f t="shared" si="41"/>
        <v>43.2</v>
      </c>
      <c r="R300" t="e">
        <f t="shared" si="42"/>
        <v>#N/A</v>
      </c>
      <c r="S300" t="e">
        <f t="shared" si="43"/>
        <v>#N/A</v>
      </c>
      <c r="T300" t="e">
        <f t="shared" si="44"/>
        <v>#N/A</v>
      </c>
    </row>
    <row r="301" spans="1:20" ht="16" x14ac:dyDescent="0.2">
      <c r="A301" s="1">
        <v>300</v>
      </c>
      <c r="B301" s="1" t="s">
        <v>25</v>
      </c>
      <c r="C301" s="1" t="s">
        <v>23</v>
      </c>
      <c r="D301" s="1">
        <v>50.6</v>
      </c>
      <c r="E301" s="1">
        <v>19.399999999999999</v>
      </c>
      <c r="F301" s="1">
        <v>193</v>
      </c>
      <c r="G301" s="1">
        <v>3800</v>
      </c>
      <c r="H301" s="1" t="s">
        <v>19</v>
      </c>
      <c r="I301" s="1">
        <v>2007</v>
      </c>
      <c r="L301" t="e">
        <f t="shared" si="36"/>
        <v>#N/A</v>
      </c>
      <c r="M301" t="e">
        <f t="shared" si="37"/>
        <v>#N/A</v>
      </c>
      <c r="N301" t="e">
        <f t="shared" si="38"/>
        <v>#N/A</v>
      </c>
      <c r="O301">
        <f t="shared" si="39"/>
        <v>193</v>
      </c>
      <c r="P301">
        <f t="shared" si="40"/>
        <v>3800</v>
      </c>
      <c r="Q301">
        <f t="shared" si="41"/>
        <v>50.6</v>
      </c>
      <c r="R301" t="e">
        <f t="shared" si="42"/>
        <v>#N/A</v>
      </c>
      <c r="S301" t="e">
        <f t="shared" si="43"/>
        <v>#N/A</v>
      </c>
      <c r="T301" t="e">
        <f t="shared" si="44"/>
        <v>#N/A</v>
      </c>
    </row>
    <row r="302" spans="1:20" ht="16" x14ac:dyDescent="0.2">
      <c r="A302" s="1">
        <v>301</v>
      </c>
      <c r="B302" s="1" t="s">
        <v>25</v>
      </c>
      <c r="C302" s="1" t="s">
        <v>23</v>
      </c>
      <c r="D302" s="1">
        <v>46.7</v>
      </c>
      <c r="E302" s="1">
        <v>17.899999999999999</v>
      </c>
      <c r="F302" s="1">
        <v>195</v>
      </c>
      <c r="G302" s="1">
        <v>3300</v>
      </c>
      <c r="H302" s="1" t="s">
        <v>20</v>
      </c>
      <c r="I302" s="1">
        <v>2007</v>
      </c>
      <c r="L302" t="e">
        <f t="shared" si="36"/>
        <v>#N/A</v>
      </c>
      <c r="M302" t="e">
        <f t="shared" si="37"/>
        <v>#N/A</v>
      </c>
      <c r="N302" t="e">
        <f t="shared" si="38"/>
        <v>#N/A</v>
      </c>
      <c r="O302">
        <f t="shared" si="39"/>
        <v>195</v>
      </c>
      <c r="P302">
        <f t="shared" si="40"/>
        <v>3300</v>
      </c>
      <c r="Q302">
        <f t="shared" si="41"/>
        <v>46.7</v>
      </c>
      <c r="R302" t="e">
        <f t="shared" si="42"/>
        <v>#N/A</v>
      </c>
      <c r="S302" t="e">
        <f t="shared" si="43"/>
        <v>#N/A</v>
      </c>
      <c r="T302" t="e">
        <f t="shared" si="44"/>
        <v>#N/A</v>
      </c>
    </row>
    <row r="303" spans="1:20" ht="16" x14ac:dyDescent="0.2">
      <c r="A303" s="1">
        <v>302</v>
      </c>
      <c r="B303" s="1" t="s">
        <v>25</v>
      </c>
      <c r="C303" s="1" t="s">
        <v>23</v>
      </c>
      <c r="D303" s="1">
        <v>52</v>
      </c>
      <c r="E303" s="1">
        <v>19</v>
      </c>
      <c r="F303" s="1">
        <v>197</v>
      </c>
      <c r="G303" s="1">
        <v>4150</v>
      </c>
      <c r="H303" s="1" t="s">
        <v>19</v>
      </c>
      <c r="I303" s="1">
        <v>2007</v>
      </c>
      <c r="L303" t="e">
        <f t="shared" si="36"/>
        <v>#N/A</v>
      </c>
      <c r="M303" t="e">
        <f t="shared" si="37"/>
        <v>#N/A</v>
      </c>
      <c r="N303" t="e">
        <f t="shared" si="38"/>
        <v>#N/A</v>
      </c>
      <c r="O303">
        <f t="shared" si="39"/>
        <v>197</v>
      </c>
      <c r="P303">
        <f t="shared" si="40"/>
        <v>4150</v>
      </c>
      <c r="Q303">
        <f t="shared" si="41"/>
        <v>52</v>
      </c>
      <c r="R303" t="e">
        <f t="shared" si="42"/>
        <v>#N/A</v>
      </c>
      <c r="S303" t="e">
        <f t="shared" si="43"/>
        <v>#N/A</v>
      </c>
      <c r="T303" t="e">
        <f t="shared" si="44"/>
        <v>#N/A</v>
      </c>
    </row>
    <row r="304" spans="1:20" ht="16" x14ac:dyDescent="0.2">
      <c r="A304" s="1">
        <v>303</v>
      </c>
      <c r="B304" s="1" t="s">
        <v>25</v>
      </c>
      <c r="C304" s="1" t="s">
        <v>23</v>
      </c>
      <c r="D304" s="1">
        <v>50.5</v>
      </c>
      <c r="E304" s="1">
        <v>18.399999999999999</v>
      </c>
      <c r="F304" s="1">
        <v>200</v>
      </c>
      <c r="G304" s="1">
        <v>3400</v>
      </c>
      <c r="H304" s="1" t="s">
        <v>20</v>
      </c>
      <c r="I304" s="1">
        <v>2008</v>
      </c>
      <c r="L304" t="e">
        <f t="shared" si="36"/>
        <v>#N/A</v>
      </c>
      <c r="M304" t="e">
        <f t="shared" si="37"/>
        <v>#N/A</v>
      </c>
      <c r="N304" t="e">
        <f t="shared" si="38"/>
        <v>#N/A</v>
      </c>
      <c r="O304">
        <f t="shared" si="39"/>
        <v>200</v>
      </c>
      <c r="P304">
        <f t="shared" si="40"/>
        <v>3400</v>
      </c>
      <c r="Q304">
        <f t="shared" si="41"/>
        <v>50.5</v>
      </c>
      <c r="R304" t="e">
        <f t="shared" si="42"/>
        <v>#N/A</v>
      </c>
      <c r="S304" t="e">
        <f t="shared" si="43"/>
        <v>#N/A</v>
      </c>
      <c r="T304" t="e">
        <f t="shared" si="44"/>
        <v>#N/A</v>
      </c>
    </row>
    <row r="305" spans="1:20" ht="16" x14ac:dyDescent="0.2">
      <c r="A305" s="1">
        <v>304</v>
      </c>
      <c r="B305" s="1" t="s">
        <v>25</v>
      </c>
      <c r="C305" s="1" t="s">
        <v>23</v>
      </c>
      <c r="D305" s="1">
        <v>49.5</v>
      </c>
      <c r="E305" s="1">
        <v>19</v>
      </c>
      <c r="F305" s="1">
        <v>200</v>
      </c>
      <c r="G305" s="1">
        <v>3800</v>
      </c>
      <c r="H305" s="1" t="s">
        <v>19</v>
      </c>
      <c r="I305" s="1">
        <v>2008</v>
      </c>
      <c r="L305" t="e">
        <f t="shared" si="36"/>
        <v>#N/A</v>
      </c>
      <c r="M305" t="e">
        <f t="shared" si="37"/>
        <v>#N/A</v>
      </c>
      <c r="N305" t="e">
        <f t="shared" si="38"/>
        <v>#N/A</v>
      </c>
      <c r="O305">
        <f t="shared" si="39"/>
        <v>200</v>
      </c>
      <c r="P305">
        <f t="shared" si="40"/>
        <v>3800</v>
      </c>
      <c r="Q305">
        <f t="shared" si="41"/>
        <v>49.5</v>
      </c>
      <c r="R305" t="e">
        <f t="shared" si="42"/>
        <v>#N/A</v>
      </c>
      <c r="S305" t="e">
        <f t="shared" si="43"/>
        <v>#N/A</v>
      </c>
      <c r="T305" t="e">
        <f t="shared" si="44"/>
        <v>#N/A</v>
      </c>
    </row>
    <row r="306" spans="1:20" ht="16" x14ac:dyDescent="0.2">
      <c r="A306" s="1">
        <v>305</v>
      </c>
      <c r="B306" s="1" t="s">
        <v>25</v>
      </c>
      <c r="C306" s="1" t="s">
        <v>23</v>
      </c>
      <c r="D306" s="1">
        <v>46.4</v>
      </c>
      <c r="E306" s="1">
        <v>17.8</v>
      </c>
      <c r="F306" s="1">
        <v>191</v>
      </c>
      <c r="G306" s="1">
        <v>3700</v>
      </c>
      <c r="H306" s="1" t="s">
        <v>20</v>
      </c>
      <c r="I306" s="1">
        <v>2008</v>
      </c>
      <c r="L306" t="e">
        <f t="shared" si="36"/>
        <v>#N/A</v>
      </c>
      <c r="M306" t="e">
        <f t="shared" si="37"/>
        <v>#N/A</v>
      </c>
      <c r="N306" t="e">
        <f t="shared" si="38"/>
        <v>#N/A</v>
      </c>
      <c r="O306">
        <f t="shared" si="39"/>
        <v>191</v>
      </c>
      <c r="P306">
        <f t="shared" si="40"/>
        <v>3700</v>
      </c>
      <c r="Q306">
        <f t="shared" si="41"/>
        <v>46.4</v>
      </c>
      <c r="R306" t="e">
        <f t="shared" si="42"/>
        <v>#N/A</v>
      </c>
      <c r="S306" t="e">
        <f t="shared" si="43"/>
        <v>#N/A</v>
      </c>
      <c r="T306" t="e">
        <f t="shared" si="44"/>
        <v>#N/A</v>
      </c>
    </row>
    <row r="307" spans="1:20" ht="16" x14ac:dyDescent="0.2">
      <c r="A307" s="1">
        <v>306</v>
      </c>
      <c r="B307" s="1" t="s">
        <v>25</v>
      </c>
      <c r="C307" s="1" t="s">
        <v>23</v>
      </c>
      <c r="D307" s="1">
        <v>52.8</v>
      </c>
      <c r="E307" s="1">
        <v>20</v>
      </c>
      <c r="F307" s="1">
        <v>205</v>
      </c>
      <c r="G307" s="1">
        <v>4550</v>
      </c>
      <c r="H307" s="1" t="s">
        <v>19</v>
      </c>
      <c r="I307" s="1">
        <v>2008</v>
      </c>
      <c r="L307" t="e">
        <f t="shared" si="36"/>
        <v>#N/A</v>
      </c>
      <c r="M307" t="e">
        <f t="shared" si="37"/>
        <v>#N/A</v>
      </c>
      <c r="N307" t="e">
        <f t="shared" si="38"/>
        <v>#N/A</v>
      </c>
      <c r="O307">
        <f t="shared" si="39"/>
        <v>205</v>
      </c>
      <c r="P307">
        <f t="shared" si="40"/>
        <v>4550</v>
      </c>
      <c r="Q307">
        <f t="shared" si="41"/>
        <v>52.8</v>
      </c>
      <c r="R307" t="e">
        <f t="shared" si="42"/>
        <v>#N/A</v>
      </c>
      <c r="S307" t="e">
        <f t="shared" si="43"/>
        <v>#N/A</v>
      </c>
      <c r="T307" t="e">
        <f t="shared" si="44"/>
        <v>#N/A</v>
      </c>
    </row>
    <row r="308" spans="1:20" ht="16" x14ac:dyDescent="0.2">
      <c r="A308" s="1">
        <v>307</v>
      </c>
      <c r="B308" s="1" t="s">
        <v>25</v>
      </c>
      <c r="C308" s="1" t="s">
        <v>23</v>
      </c>
      <c r="D308" s="1">
        <v>40.9</v>
      </c>
      <c r="E308" s="1">
        <v>16.600000000000001</v>
      </c>
      <c r="F308" s="1">
        <v>187</v>
      </c>
      <c r="G308" s="1">
        <v>3200</v>
      </c>
      <c r="H308" s="1" t="s">
        <v>20</v>
      </c>
      <c r="I308" s="1">
        <v>2008</v>
      </c>
      <c r="L308" t="e">
        <f t="shared" si="36"/>
        <v>#N/A</v>
      </c>
      <c r="M308" t="e">
        <f t="shared" si="37"/>
        <v>#N/A</v>
      </c>
      <c r="N308" t="e">
        <f t="shared" si="38"/>
        <v>#N/A</v>
      </c>
      <c r="O308">
        <f t="shared" si="39"/>
        <v>187</v>
      </c>
      <c r="P308">
        <f t="shared" si="40"/>
        <v>3200</v>
      </c>
      <c r="Q308">
        <f t="shared" si="41"/>
        <v>40.9</v>
      </c>
      <c r="R308" t="e">
        <f t="shared" si="42"/>
        <v>#N/A</v>
      </c>
      <c r="S308" t="e">
        <f t="shared" si="43"/>
        <v>#N/A</v>
      </c>
      <c r="T308" t="e">
        <f t="shared" si="44"/>
        <v>#N/A</v>
      </c>
    </row>
    <row r="309" spans="1:20" ht="16" x14ac:dyDescent="0.2">
      <c r="A309" s="1">
        <v>308</v>
      </c>
      <c r="B309" s="1" t="s">
        <v>25</v>
      </c>
      <c r="C309" s="1" t="s">
        <v>23</v>
      </c>
      <c r="D309" s="1">
        <v>54.2</v>
      </c>
      <c r="E309" s="1">
        <v>20.8</v>
      </c>
      <c r="F309" s="1">
        <v>201</v>
      </c>
      <c r="G309" s="1">
        <v>4300</v>
      </c>
      <c r="H309" s="1" t="s">
        <v>19</v>
      </c>
      <c r="I309" s="1">
        <v>2008</v>
      </c>
      <c r="L309" t="e">
        <f t="shared" si="36"/>
        <v>#N/A</v>
      </c>
      <c r="M309" t="e">
        <f t="shared" si="37"/>
        <v>#N/A</v>
      </c>
      <c r="N309" t="e">
        <f t="shared" si="38"/>
        <v>#N/A</v>
      </c>
      <c r="O309">
        <f t="shared" si="39"/>
        <v>201</v>
      </c>
      <c r="P309">
        <f t="shared" si="40"/>
        <v>4300</v>
      </c>
      <c r="Q309">
        <f t="shared" si="41"/>
        <v>54.2</v>
      </c>
      <c r="R309" t="e">
        <f t="shared" si="42"/>
        <v>#N/A</v>
      </c>
      <c r="S309" t="e">
        <f t="shared" si="43"/>
        <v>#N/A</v>
      </c>
      <c r="T309" t="e">
        <f t="shared" si="44"/>
        <v>#N/A</v>
      </c>
    </row>
    <row r="310" spans="1:20" ht="16" x14ac:dyDescent="0.2">
      <c r="A310" s="1">
        <v>309</v>
      </c>
      <c r="B310" s="1" t="s">
        <v>25</v>
      </c>
      <c r="C310" s="1" t="s">
        <v>23</v>
      </c>
      <c r="D310" s="1">
        <v>42.5</v>
      </c>
      <c r="E310" s="1">
        <v>16.7</v>
      </c>
      <c r="F310" s="1">
        <v>187</v>
      </c>
      <c r="G310" s="1">
        <v>3350</v>
      </c>
      <c r="H310" s="1" t="s">
        <v>20</v>
      </c>
      <c r="I310" s="1">
        <v>2008</v>
      </c>
      <c r="L310" t="e">
        <f t="shared" si="36"/>
        <v>#N/A</v>
      </c>
      <c r="M310" t="e">
        <f t="shared" si="37"/>
        <v>#N/A</v>
      </c>
      <c r="N310" t="e">
        <f t="shared" si="38"/>
        <v>#N/A</v>
      </c>
      <c r="O310">
        <f t="shared" si="39"/>
        <v>187</v>
      </c>
      <c r="P310">
        <f t="shared" si="40"/>
        <v>3350</v>
      </c>
      <c r="Q310">
        <f t="shared" si="41"/>
        <v>42.5</v>
      </c>
      <c r="R310" t="e">
        <f t="shared" si="42"/>
        <v>#N/A</v>
      </c>
      <c r="S310" t="e">
        <f t="shared" si="43"/>
        <v>#N/A</v>
      </c>
      <c r="T310" t="e">
        <f t="shared" si="44"/>
        <v>#N/A</v>
      </c>
    </row>
    <row r="311" spans="1:20" ht="16" x14ac:dyDescent="0.2">
      <c r="A311" s="1">
        <v>310</v>
      </c>
      <c r="B311" s="1" t="s">
        <v>25</v>
      </c>
      <c r="C311" s="1" t="s">
        <v>23</v>
      </c>
      <c r="D311" s="1">
        <v>51</v>
      </c>
      <c r="E311" s="1">
        <v>18.8</v>
      </c>
      <c r="F311" s="1">
        <v>203</v>
      </c>
      <c r="G311" s="1">
        <v>4100</v>
      </c>
      <c r="H311" s="1" t="s">
        <v>19</v>
      </c>
      <c r="I311" s="1">
        <v>2008</v>
      </c>
      <c r="L311" t="e">
        <f t="shared" si="36"/>
        <v>#N/A</v>
      </c>
      <c r="M311" t="e">
        <f t="shared" si="37"/>
        <v>#N/A</v>
      </c>
      <c r="N311" t="e">
        <f t="shared" si="38"/>
        <v>#N/A</v>
      </c>
      <c r="O311">
        <f t="shared" si="39"/>
        <v>203</v>
      </c>
      <c r="P311">
        <f t="shared" si="40"/>
        <v>4100</v>
      </c>
      <c r="Q311">
        <f t="shared" si="41"/>
        <v>51</v>
      </c>
      <c r="R311" t="e">
        <f t="shared" si="42"/>
        <v>#N/A</v>
      </c>
      <c r="S311" t="e">
        <f t="shared" si="43"/>
        <v>#N/A</v>
      </c>
      <c r="T311" t="e">
        <f t="shared" si="44"/>
        <v>#N/A</v>
      </c>
    </row>
    <row r="312" spans="1:20" ht="16" x14ac:dyDescent="0.2">
      <c r="A312" s="1">
        <v>311</v>
      </c>
      <c r="B312" s="1" t="s">
        <v>25</v>
      </c>
      <c r="C312" s="1" t="s">
        <v>23</v>
      </c>
      <c r="D312" s="1">
        <v>49.7</v>
      </c>
      <c r="E312" s="1">
        <v>18.600000000000001</v>
      </c>
      <c r="F312" s="1">
        <v>195</v>
      </c>
      <c r="G312" s="1">
        <v>3600</v>
      </c>
      <c r="H312" s="1" t="s">
        <v>19</v>
      </c>
      <c r="I312" s="1">
        <v>2008</v>
      </c>
      <c r="L312" t="e">
        <f t="shared" si="36"/>
        <v>#N/A</v>
      </c>
      <c r="M312" t="e">
        <f t="shared" si="37"/>
        <v>#N/A</v>
      </c>
      <c r="N312" t="e">
        <f t="shared" si="38"/>
        <v>#N/A</v>
      </c>
      <c r="O312">
        <f t="shared" si="39"/>
        <v>195</v>
      </c>
      <c r="P312">
        <f t="shared" si="40"/>
        <v>3600</v>
      </c>
      <c r="Q312">
        <f t="shared" si="41"/>
        <v>49.7</v>
      </c>
      <c r="R312" t="e">
        <f t="shared" si="42"/>
        <v>#N/A</v>
      </c>
      <c r="S312" t="e">
        <f t="shared" si="43"/>
        <v>#N/A</v>
      </c>
      <c r="T312" t="e">
        <f t="shared" si="44"/>
        <v>#N/A</v>
      </c>
    </row>
    <row r="313" spans="1:20" ht="16" x14ac:dyDescent="0.2">
      <c r="A313" s="1">
        <v>312</v>
      </c>
      <c r="B313" s="1" t="s">
        <v>25</v>
      </c>
      <c r="C313" s="1" t="s">
        <v>23</v>
      </c>
      <c r="D313" s="1">
        <v>47.5</v>
      </c>
      <c r="E313" s="1">
        <v>16.8</v>
      </c>
      <c r="F313" s="1">
        <v>199</v>
      </c>
      <c r="G313" s="1">
        <v>3900</v>
      </c>
      <c r="H313" s="1" t="s">
        <v>20</v>
      </c>
      <c r="I313" s="1">
        <v>2008</v>
      </c>
      <c r="L313" t="e">
        <f t="shared" si="36"/>
        <v>#N/A</v>
      </c>
      <c r="M313" t="e">
        <f t="shared" si="37"/>
        <v>#N/A</v>
      </c>
      <c r="N313" t="e">
        <f t="shared" si="38"/>
        <v>#N/A</v>
      </c>
      <c r="O313">
        <f t="shared" si="39"/>
        <v>199</v>
      </c>
      <c r="P313">
        <f t="shared" si="40"/>
        <v>3900</v>
      </c>
      <c r="Q313">
        <f t="shared" si="41"/>
        <v>47.5</v>
      </c>
      <c r="R313" t="e">
        <f t="shared" si="42"/>
        <v>#N/A</v>
      </c>
      <c r="S313" t="e">
        <f t="shared" si="43"/>
        <v>#N/A</v>
      </c>
      <c r="T313" t="e">
        <f t="shared" si="44"/>
        <v>#N/A</v>
      </c>
    </row>
    <row r="314" spans="1:20" ht="16" x14ac:dyDescent="0.2">
      <c r="A314" s="1">
        <v>313</v>
      </c>
      <c r="B314" s="1" t="s">
        <v>25</v>
      </c>
      <c r="C314" s="1" t="s">
        <v>23</v>
      </c>
      <c r="D314" s="1">
        <v>47.6</v>
      </c>
      <c r="E314" s="1">
        <v>18.3</v>
      </c>
      <c r="F314" s="1">
        <v>195</v>
      </c>
      <c r="G314" s="1">
        <v>3850</v>
      </c>
      <c r="H314" s="1" t="s">
        <v>20</v>
      </c>
      <c r="I314" s="1">
        <v>2008</v>
      </c>
      <c r="L314" t="e">
        <f t="shared" si="36"/>
        <v>#N/A</v>
      </c>
      <c r="M314" t="e">
        <f t="shared" si="37"/>
        <v>#N/A</v>
      </c>
      <c r="N314" t="e">
        <f t="shared" si="38"/>
        <v>#N/A</v>
      </c>
      <c r="O314">
        <f t="shared" si="39"/>
        <v>195</v>
      </c>
      <c r="P314">
        <f t="shared" si="40"/>
        <v>3850</v>
      </c>
      <c r="Q314">
        <f t="shared" si="41"/>
        <v>47.6</v>
      </c>
      <c r="R314" t="e">
        <f t="shared" si="42"/>
        <v>#N/A</v>
      </c>
      <c r="S314" t="e">
        <f t="shared" si="43"/>
        <v>#N/A</v>
      </c>
      <c r="T314" t="e">
        <f t="shared" si="44"/>
        <v>#N/A</v>
      </c>
    </row>
    <row r="315" spans="1:20" ht="16" x14ac:dyDescent="0.2">
      <c r="A315" s="1">
        <v>314</v>
      </c>
      <c r="B315" s="1" t="s">
        <v>25</v>
      </c>
      <c r="C315" s="1" t="s">
        <v>23</v>
      </c>
      <c r="D315" s="1">
        <v>52</v>
      </c>
      <c r="E315" s="1">
        <v>20.7</v>
      </c>
      <c r="F315" s="1">
        <v>210</v>
      </c>
      <c r="G315" s="1">
        <v>4800</v>
      </c>
      <c r="H315" s="1" t="s">
        <v>19</v>
      </c>
      <c r="I315" s="1">
        <v>2008</v>
      </c>
      <c r="L315" t="e">
        <f t="shared" si="36"/>
        <v>#N/A</v>
      </c>
      <c r="M315" t="e">
        <f t="shared" si="37"/>
        <v>#N/A</v>
      </c>
      <c r="N315" t="e">
        <f t="shared" si="38"/>
        <v>#N/A</v>
      </c>
      <c r="O315">
        <f t="shared" si="39"/>
        <v>210</v>
      </c>
      <c r="P315">
        <f t="shared" si="40"/>
        <v>4800</v>
      </c>
      <c r="Q315">
        <f t="shared" si="41"/>
        <v>52</v>
      </c>
      <c r="R315" t="e">
        <f t="shared" si="42"/>
        <v>#N/A</v>
      </c>
      <c r="S315" t="e">
        <f t="shared" si="43"/>
        <v>#N/A</v>
      </c>
      <c r="T315" t="e">
        <f t="shared" si="44"/>
        <v>#N/A</v>
      </c>
    </row>
    <row r="316" spans="1:20" ht="16" x14ac:dyDescent="0.2">
      <c r="A316" s="1">
        <v>315</v>
      </c>
      <c r="B316" s="1" t="s">
        <v>25</v>
      </c>
      <c r="C316" s="1" t="s">
        <v>23</v>
      </c>
      <c r="D316" s="1">
        <v>46.9</v>
      </c>
      <c r="E316" s="1">
        <v>16.600000000000001</v>
      </c>
      <c r="F316" s="1">
        <v>192</v>
      </c>
      <c r="G316" s="1">
        <v>2700</v>
      </c>
      <c r="H316" s="1" t="s">
        <v>20</v>
      </c>
      <c r="I316" s="1">
        <v>2008</v>
      </c>
      <c r="L316" t="e">
        <f t="shared" si="36"/>
        <v>#N/A</v>
      </c>
      <c r="M316" t="e">
        <f t="shared" si="37"/>
        <v>#N/A</v>
      </c>
      <c r="N316" t="e">
        <f t="shared" si="38"/>
        <v>#N/A</v>
      </c>
      <c r="O316">
        <f t="shared" si="39"/>
        <v>192</v>
      </c>
      <c r="P316">
        <f t="shared" si="40"/>
        <v>2700</v>
      </c>
      <c r="Q316">
        <f t="shared" si="41"/>
        <v>46.9</v>
      </c>
      <c r="R316" t="e">
        <f t="shared" si="42"/>
        <v>#N/A</v>
      </c>
      <c r="S316" t="e">
        <f t="shared" si="43"/>
        <v>#N/A</v>
      </c>
      <c r="T316" t="e">
        <f t="shared" si="44"/>
        <v>#N/A</v>
      </c>
    </row>
    <row r="317" spans="1:20" ht="16" x14ac:dyDescent="0.2">
      <c r="A317" s="1">
        <v>316</v>
      </c>
      <c r="B317" s="1" t="s">
        <v>25</v>
      </c>
      <c r="C317" s="1" t="s">
        <v>23</v>
      </c>
      <c r="D317" s="1">
        <v>53.5</v>
      </c>
      <c r="E317" s="1">
        <v>19.899999999999999</v>
      </c>
      <c r="F317" s="1">
        <v>205</v>
      </c>
      <c r="G317" s="1">
        <v>4500</v>
      </c>
      <c r="H317" s="1" t="s">
        <v>19</v>
      </c>
      <c r="I317" s="1">
        <v>2008</v>
      </c>
      <c r="L317" t="e">
        <f t="shared" si="36"/>
        <v>#N/A</v>
      </c>
      <c r="M317" t="e">
        <f t="shared" si="37"/>
        <v>#N/A</v>
      </c>
      <c r="N317" t="e">
        <f t="shared" si="38"/>
        <v>#N/A</v>
      </c>
      <c r="O317">
        <f t="shared" si="39"/>
        <v>205</v>
      </c>
      <c r="P317">
        <f t="shared" si="40"/>
        <v>4500</v>
      </c>
      <c r="Q317">
        <f t="shared" si="41"/>
        <v>53.5</v>
      </c>
      <c r="R317" t="e">
        <f t="shared" si="42"/>
        <v>#N/A</v>
      </c>
      <c r="S317" t="e">
        <f t="shared" si="43"/>
        <v>#N/A</v>
      </c>
      <c r="T317" t="e">
        <f t="shared" si="44"/>
        <v>#N/A</v>
      </c>
    </row>
    <row r="318" spans="1:20" ht="16" x14ac:dyDescent="0.2">
      <c r="A318" s="1">
        <v>317</v>
      </c>
      <c r="B318" s="1" t="s">
        <v>25</v>
      </c>
      <c r="C318" s="1" t="s">
        <v>23</v>
      </c>
      <c r="D318" s="1">
        <v>49</v>
      </c>
      <c r="E318" s="1">
        <v>19.5</v>
      </c>
      <c r="F318" s="1">
        <v>210</v>
      </c>
      <c r="G318" s="1">
        <v>3950</v>
      </c>
      <c r="H318" s="1" t="s">
        <v>19</v>
      </c>
      <c r="I318" s="1">
        <v>2008</v>
      </c>
      <c r="L318" t="e">
        <f t="shared" si="36"/>
        <v>#N/A</v>
      </c>
      <c r="M318" t="e">
        <f t="shared" si="37"/>
        <v>#N/A</v>
      </c>
      <c r="N318" t="e">
        <f t="shared" si="38"/>
        <v>#N/A</v>
      </c>
      <c r="O318">
        <f t="shared" si="39"/>
        <v>210</v>
      </c>
      <c r="P318">
        <f t="shared" si="40"/>
        <v>3950</v>
      </c>
      <c r="Q318">
        <f t="shared" si="41"/>
        <v>49</v>
      </c>
      <c r="R318" t="e">
        <f t="shared" si="42"/>
        <v>#N/A</v>
      </c>
      <c r="S318" t="e">
        <f t="shared" si="43"/>
        <v>#N/A</v>
      </c>
      <c r="T318" t="e">
        <f t="shared" si="44"/>
        <v>#N/A</v>
      </c>
    </row>
    <row r="319" spans="1:20" ht="16" x14ac:dyDescent="0.2">
      <c r="A319" s="1">
        <v>318</v>
      </c>
      <c r="B319" s="1" t="s">
        <v>25</v>
      </c>
      <c r="C319" s="1" t="s">
        <v>23</v>
      </c>
      <c r="D319" s="1">
        <v>46.2</v>
      </c>
      <c r="E319" s="1">
        <v>17.5</v>
      </c>
      <c r="F319" s="1">
        <v>187</v>
      </c>
      <c r="G319" s="1">
        <v>3650</v>
      </c>
      <c r="H319" s="1" t="s">
        <v>20</v>
      </c>
      <c r="I319" s="1">
        <v>2008</v>
      </c>
      <c r="L319" t="e">
        <f t="shared" si="36"/>
        <v>#N/A</v>
      </c>
      <c r="M319" t="e">
        <f t="shared" si="37"/>
        <v>#N/A</v>
      </c>
      <c r="N319" t="e">
        <f t="shared" si="38"/>
        <v>#N/A</v>
      </c>
      <c r="O319">
        <f t="shared" si="39"/>
        <v>187</v>
      </c>
      <c r="P319">
        <f t="shared" si="40"/>
        <v>3650</v>
      </c>
      <c r="Q319">
        <f t="shared" si="41"/>
        <v>46.2</v>
      </c>
      <c r="R319" t="e">
        <f t="shared" si="42"/>
        <v>#N/A</v>
      </c>
      <c r="S319" t="e">
        <f t="shared" si="43"/>
        <v>#N/A</v>
      </c>
      <c r="T319" t="e">
        <f t="shared" si="44"/>
        <v>#N/A</v>
      </c>
    </row>
    <row r="320" spans="1:20" ht="16" x14ac:dyDescent="0.2">
      <c r="A320" s="1">
        <v>319</v>
      </c>
      <c r="B320" s="1" t="s">
        <v>25</v>
      </c>
      <c r="C320" s="1" t="s">
        <v>23</v>
      </c>
      <c r="D320" s="1">
        <v>50.9</v>
      </c>
      <c r="E320" s="1">
        <v>19.100000000000001</v>
      </c>
      <c r="F320" s="1">
        <v>196</v>
      </c>
      <c r="G320" s="1">
        <v>3550</v>
      </c>
      <c r="H320" s="1" t="s">
        <v>19</v>
      </c>
      <c r="I320" s="1">
        <v>2008</v>
      </c>
      <c r="L320" t="e">
        <f t="shared" si="36"/>
        <v>#N/A</v>
      </c>
      <c r="M320" t="e">
        <f t="shared" si="37"/>
        <v>#N/A</v>
      </c>
      <c r="N320" t="e">
        <f t="shared" si="38"/>
        <v>#N/A</v>
      </c>
      <c r="O320">
        <f t="shared" si="39"/>
        <v>196</v>
      </c>
      <c r="P320">
        <f t="shared" si="40"/>
        <v>3550</v>
      </c>
      <c r="Q320">
        <f t="shared" si="41"/>
        <v>50.9</v>
      </c>
      <c r="R320" t="e">
        <f t="shared" si="42"/>
        <v>#N/A</v>
      </c>
      <c r="S320" t="e">
        <f t="shared" si="43"/>
        <v>#N/A</v>
      </c>
      <c r="T320" t="e">
        <f t="shared" si="44"/>
        <v>#N/A</v>
      </c>
    </row>
    <row r="321" spans="1:20" ht="16" x14ac:dyDescent="0.2">
      <c r="A321" s="1">
        <v>320</v>
      </c>
      <c r="B321" s="1" t="s">
        <v>25</v>
      </c>
      <c r="C321" s="1" t="s">
        <v>23</v>
      </c>
      <c r="D321" s="1">
        <v>45.5</v>
      </c>
      <c r="E321" s="1">
        <v>17</v>
      </c>
      <c r="F321" s="1">
        <v>196</v>
      </c>
      <c r="G321" s="1">
        <v>3500</v>
      </c>
      <c r="H321" s="1" t="s">
        <v>20</v>
      </c>
      <c r="I321" s="1">
        <v>2008</v>
      </c>
      <c r="L321" t="e">
        <f t="shared" si="36"/>
        <v>#N/A</v>
      </c>
      <c r="M321" t="e">
        <f t="shared" si="37"/>
        <v>#N/A</v>
      </c>
      <c r="N321" t="e">
        <f t="shared" si="38"/>
        <v>#N/A</v>
      </c>
      <c r="O321">
        <f t="shared" si="39"/>
        <v>196</v>
      </c>
      <c r="P321">
        <f t="shared" si="40"/>
        <v>3500</v>
      </c>
      <c r="Q321">
        <f t="shared" si="41"/>
        <v>45.5</v>
      </c>
      <c r="R321" t="e">
        <f t="shared" si="42"/>
        <v>#N/A</v>
      </c>
      <c r="S321" t="e">
        <f t="shared" si="43"/>
        <v>#N/A</v>
      </c>
      <c r="T321" t="e">
        <f t="shared" si="44"/>
        <v>#N/A</v>
      </c>
    </row>
    <row r="322" spans="1:20" ht="16" x14ac:dyDescent="0.2">
      <c r="A322" s="1">
        <v>321</v>
      </c>
      <c r="B322" s="1" t="s">
        <v>25</v>
      </c>
      <c r="C322" s="1" t="s">
        <v>23</v>
      </c>
      <c r="D322" s="1">
        <v>50.9</v>
      </c>
      <c r="E322" s="1">
        <v>17.899999999999999</v>
      </c>
      <c r="F322" s="1">
        <v>196</v>
      </c>
      <c r="G322" s="1">
        <v>3675</v>
      </c>
      <c r="H322" s="1" t="s">
        <v>20</v>
      </c>
      <c r="I322" s="1">
        <v>2009</v>
      </c>
      <c r="L322" t="e">
        <f t="shared" si="36"/>
        <v>#N/A</v>
      </c>
      <c r="M322" t="e">
        <f t="shared" si="37"/>
        <v>#N/A</v>
      </c>
      <c r="N322" t="e">
        <f t="shared" si="38"/>
        <v>#N/A</v>
      </c>
      <c r="O322">
        <f t="shared" si="39"/>
        <v>196</v>
      </c>
      <c r="P322">
        <f t="shared" si="40"/>
        <v>3675</v>
      </c>
      <c r="Q322">
        <f t="shared" si="41"/>
        <v>50.9</v>
      </c>
      <c r="R322" t="e">
        <f t="shared" si="42"/>
        <v>#N/A</v>
      </c>
      <c r="S322" t="e">
        <f t="shared" si="43"/>
        <v>#N/A</v>
      </c>
      <c r="T322" t="e">
        <f t="shared" si="44"/>
        <v>#N/A</v>
      </c>
    </row>
    <row r="323" spans="1:20" ht="16" x14ac:dyDescent="0.2">
      <c r="A323" s="1">
        <v>322</v>
      </c>
      <c r="B323" s="1" t="s">
        <v>25</v>
      </c>
      <c r="C323" s="1" t="s">
        <v>23</v>
      </c>
      <c r="D323" s="1">
        <v>50.8</v>
      </c>
      <c r="E323" s="1">
        <v>18.5</v>
      </c>
      <c r="F323" s="1">
        <v>201</v>
      </c>
      <c r="G323" s="1">
        <v>4450</v>
      </c>
      <c r="H323" s="1" t="s">
        <v>19</v>
      </c>
      <c r="I323" s="1">
        <v>2009</v>
      </c>
      <c r="L323" t="e">
        <f t="shared" ref="L323:L346" si="45">IF(TRIM($B323)="Adelie",IFERROR(VALUE($F323),NA()),NA())</f>
        <v>#N/A</v>
      </c>
      <c r="M323" t="e">
        <f t="shared" ref="M323:M346" si="46">IF(TRIM(CLEAN(SUBSTITUTE($B323,CHAR(160),"")))="Adelie",IFERROR(VALUE($G323),NA()),NA())</f>
        <v>#N/A</v>
      </c>
      <c r="N323" t="e">
        <f t="shared" ref="N323:N346" si="47">IF(TRIM(CLEAN(SUBSTITUTE($B323,CHAR(160),"")))="Adelie",IF(OR($D323="NA",$D323=""),NA(),VALUE($D323)),NA())</f>
        <v>#N/A</v>
      </c>
      <c r="O323">
        <f t="shared" ref="O323:O346" si="48">IF(TRIM(CLEAN(SUBSTITUTE($B323,CHAR(160),"")))="Chinstrap",IF(OR($F323="NA",$F323=""),NA(),VALUE($F323)),NA())</f>
        <v>201</v>
      </c>
      <c r="P323">
        <f t="shared" ref="P323:P346" si="49">IF(TRIM(CLEAN(SUBSTITUTE($B323,CHAR(160),"")))="Chinstrap",IF(OR($G323="NA",$G323=""),NA(),VALUE($G323)),NA())</f>
        <v>4450</v>
      </c>
      <c r="Q323">
        <f t="shared" ref="Q323:Q346" si="50">IF(TRIM(CLEAN(SUBSTITUTE($B323,CHAR(160),"")))="Chinstrap",IF(OR($D323="NA",$D323=""),NA(),VALUE($D323)),NA())</f>
        <v>50.8</v>
      </c>
      <c r="R323" t="e">
        <f t="shared" ref="R323:R346" si="51">IF(TRIM(CLEAN(SUBSTITUTE($B323,CHAR(160),"")))="Gentoo",IF(OR($F323="NA",$F323=""),NA(),VALUE($F323)),NA())</f>
        <v>#N/A</v>
      </c>
      <c r="S323" t="e">
        <f t="shared" ref="S323:S346" si="52">IF(TRIM(CLEAN(SUBSTITUTE($B323,CHAR(160),"")))="Gentoo",IF(OR($G323="NA",$G323=""),NA(),VALUE($G323)),NA())</f>
        <v>#N/A</v>
      </c>
      <c r="T323" t="e">
        <f t="shared" ref="T323:T346" si="53">IF(TRIM(CLEAN(SUBSTITUTE($B323,CHAR(160),"")))="Gentoo",IF(OR($D323="NA",$D323=""),NA(),VALUE($D323)),NA())</f>
        <v>#N/A</v>
      </c>
    </row>
    <row r="324" spans="1:20" ht="16" x14ac:dyDescent="0.2">
      <c r="A324" s="1">
        <v>323</v>
      </c>
      <c r="B324" s="1" t="s">
        <v>25</v>
      </c>
      <c r="C324" s="1" t="s">
        <v>23</v>
      </c>
      <c r="D324" s="1">
        <v>50.1</v>
      </c>
      <c r="E324" s="1">
        <v>17.899999999999999</v>
      </c>
      <c r="F324" s="1">
        <v>190</v>
      </c>
      <c r="G324" s="1">
        <v>3400</v>
      </c>
      <c r="H324" s="1" t="s">
        <v>20</v>
      </c>
      <c r="I324" s="1">
        <v>2009</v>
      </c>
      <c r="L324" t="e">
        <f t="shared" si="45"/>
        <v>#N/A</v>
      </c>
      <c r="M324" t="e">
        <f t="shared" si="46"/>
        <v>#N/A</v>
      </c>
      <c r="N324" t="e">
        <f t="shared" si="47"/>
        <v>#N/A</v>
      </c>
      <c r="O324">
        <f t="shared" si="48"/>
        <v>190</v>
      </c>
      <c r="P324">
        <f t="shared" si="49"/>
        <v>3400</v>
      </c>
      <c r="Q324">
        <f t="shared" si="50"/>
        <v>50.1</v>
      </c>
      <c r="R324" t="e">
        <f t="shared" si="51"/>
        <v>#N/A</v>
      </c>
      <c r="S324" t="e">
        <f t="shared" si="52"/>
        <v>#N/A</v>
      </c>
      <c r="T324" t="e">
        <f t="shared" si="53"/>
        <v>#N/A</v>
      </c>
    </row>
    <row r="325" spans="1:20" ht="16" x14ac:dyDescent="0.2">
      <c r="A325" s="1">
        <v>324</v>
      </c>
      <c r="B325" s="1" t="s">
        <v>25</v>
      </c>
      <c r="C325" s="1" t="s">
        <v>23</v>
      </c>
      <c r="D325" s="1">
        <v>49</v>
      </c>
      <c r="E325" s="1">
        <v>19.600000000000001</v>
      </c>
      <c r="F325" s="1">
        <v>212</v>
      </c>
      <c r="G325" s="1">
        <v>4300</v>
      </c>
      <c r="H325" s="1" t="s">
        <v>19</v>
      </c>
      <c r="I325" s="1">
        <v>2009</v>
      </c>
      <c r="L325" t="e">
        <f t="shared" si="45"/>
        <v>#N/A</v>
      </c>
      <c r="M325" t="e">
        <f t="shared" si="46"/>
        <v>#N/A</v>
      </c>
      <c r="N325" t="e">
        <f t="shared" si="47"/>
        <v>#N/A</v>
      </c>
      <c r="O325">
        <f t="shared" si="48"/>
        <v>212</v>
      </c>
      <c r="P325">
        <f t="shared" si="49"/>
        <v>4300</v>
      </c>
      <c r="Q325">
        <f t="shared" si="50"/>
        <v>49</v>
      </c>
      <c r="R325" t="e">
        <f t="shared" si="51"/>
        <v>#N/A</v>
      </c>
      <c r="S325" t="e">
        <f t="shared" si="52"/>
        <v>#N/A</v>
      </c>
      <c r="T325" t="e">
        <f t="shared" si="53"/>
        <v>#N/A</v>
      </c>
    </row>
    <row r="326" spans="1:20" ht="16" x14ac:dyDescent="0.2">
      <c r="A326" s="1">
        <v>325</v>
      </c>
      <c r="B326" s="1" t="s">
        <v>25</v>
      </c>
      <c r="C326" s="1" t="s">
        <v>23</v>
      </c>
      <c r="D326" s="1">
        <v>51.5</v>
      </c>
      <c r="E326" s="1">
        <v>18.7</v>
      </c>
      <c r="F326" s="1">
        <v>187</v>
      </c>
      <c r="G326" s="1">
        <v>3250</v>
      </c>
      <c r="H326" s="1" t="s">
        <v>19</v>
      </c>
      <c r="I326" s="1">
        <v>2009</v>
      </c>
      <c r="L326" t="e">
        <f t="shared" si="45"/>
        <v>#N/A</v>
      </c>
      <c r="M326" t="e">
        <f t="shared" si="46"/>
        <v>#N/A</v>
      </c>
      <c r="N326" t="e">
        <f t="shared" si="47"/>
        <v>#N/A</v>
      </c>
      <c r="O326">
        <f t="shared" si="48"/>
        <v>187</v>
      </c>
      <c r="P326">
        <f t="shared" si="49"/>
        <v>3250</v>
      </c>
      <c r="Q326">
        <f t="shared" si="50"/>
        <v>51.5</v>
      </c>
      <c r="R326" t="e">
        <f t="shared" si="51"/>
        <v>#N/A</v>
      </c>
      <c r="S326" t="e">
        <f t="shared" si="52"/>
        <v>#N/A</v>
      </c>
      <c r="T326" t="e">
        <f t="shared" si="53"/>
        <v>#N/A</v>
      </c>
    </row>
    <row r="327" spans="1:20" ht="16" x14ac:dyDescent="0.2">
      <c r="A327" s="1">
        <v>326</v>
      </c>
      <c r="B327" s="1" t="s">
        <v>25</v>
      </c>
      <c r="C327" s="1" t="s">
        <v>23</v>
      </c>
      <c r="D327" s="1">
        <v>49.8</v>
      </c>
      <c r="E327" s="1">
        <v>17.3</v>
      </c>
      <c r="F327" s="1">
        <v>198</v>
      </c>
      <c r="G327" s="1">
        <v>3675</v>
      </c>
      <c r="H327" s="1" t="s">
        <v>20</v>
      </c>
      <c r="I327" s="1">
        <v>2009</v>
      </c>
      <c r="L327" t="e">
        <f t="shared" si="45"/>
        <v>#N/A</v>
      </c>
      <c r="M327" t="e">
        <f t="shared" si="46"/>
        <v>#N/A</v>
      </c>
      <c r="N327" t="e">
        <f t="shared" si="47"/>
        <v>#N/A</v>
      </c>
      <c r="O327">
        <f t="shared" si="48"/>
        <v>198</v>
      </c>
      <c r="P327">
        <f t="shared" si="49"/>
        <v>3675</v>
      </c>
      <c r="Q327">
        <f t="shared" si="50"/>
        <v>49.8</v>
      </c>
      <c r="R327" t="e">
        <f t="shared" si="51"/>
        <v>#N/A</v>
      </c>
      <c r="S327" t="e">
        <f t="shared" si="52"/>
        <v>#N/A</v>
      </c>
      <c r="T327" t="e">
        <f t="shared" si="53"/>
        <v>#N/A</v>
      </c>
    </row>
    <row r="328" spans="1:20" ht="16" x14ac:dyDescent="0.2">
      <c r="A328" s="1">
        <v>327</v>
      </c>
      <c r="B328" s="1" t="s">
        <v>25</v>
      </c>
      <c r="C328" s="1" t="s">
        <v>23</v>
      </c>
      <c r="D328" s="1">
        <v>48.1</v>
      </c>
      <c r="E328" s="1">
        <v>16.399999999999999</v>
      </c>
      <c r="F328" s="1">
        <v>199</v>
      </c>
      <c r="G328" s="1">
        <v>3325</v>
      </c>
      <c r="H328" s="1" t="s">
        <v>20</v>
      </c>
      <c r="I328" s="1">
        <v>2009</v>
      </c>
      <c r="L328" t="e">
        <f t="shared" si="45"/>
        <v>#N/A</v>
      </c>
      <c r="M328" t="e">
        <f t="shared" si="46"/>
        <v>#N/A</v>
      </c>
      <c r="N328" t="e">
        <f t="shared" si="47"/>
        <v>#N/A</v>
      </c>
      <c r="O328">
        <f t="shared" si="48"/>
        <v>199</v>
      </c>
      <c r="P328">
        <f t="shared" si="49"/>
        <v>3325</v>
      </c>
      <c r="Q328">
        <f t="shared" si="50"/>
        <v>48.1</v>
      </c>
      <c r="R328" t="e">
        <f t="shared" si="51"/>
        <v>#N/A</v>
      </c>
      <c r="S328" t="e">
        <f t="shared" si="52"/>
        <v>#N/A</v>
      </c>
      <c r="T328" t="e">
        <f t="shared" si="53"/>
        <v>#N/A</v>
      </c>
    </row>
    <row r="329" spans="1:20" ht="16" x14ac:dyDescent="0.2">
      <c r="A329" s="1">
        <v>328</v>
      </c>
      <c r="B329" s="1" t="s">
        <v>25</v>
      </c>
      <c r="C329" s="1" t="s">
        <v>23</v>
      </c>
      <c r="D329" s="1">
        <v>51.4</v>
      </c>
      <c r="E329" s="1">
        <v>19</v>
      </c>
      <c r="F329" s="1">
        <v>201</v>
      </c>
      <c r="G329" s="1">
        <v>3950</v>
      </c>
      <c r="H329" s="1" t="s">
        <v>19</v>
      </c>
      <c r="I329" s="1">
        <v>2009</v>
      </c>
      <c r="L329" t="e">
        <f t="shared" si="45"/>
        <v>#N/A</v>
      </c>
      <c r="M329" t="e">
        <f t="shared" si="46"/>
        <v>#N/A</v>
      </c>
      <c r="N329" t="e">
        <f t="shared" si="47"/>
        <v>#N/A</v>
      </c>
      <c r="O329">
        <f t="shared" si="48"/>
        <v>201</v>
      </c>
      <c r="P329">
        <f t="shared" si="49"/>
        <v>3950</v>
      </c>
      <c r="Q329">
        <f t="shared" si="50"/>
        <v>51.4</v>
      </c>
      <c r="R329" t="e">
        <f t="shared" si="51"/>
        <v>#N/A</v>
      </c>
      <c r="S329" t="e">
        <f t="shared" si="52"/>
        <v>#N/A</v>
      </c>
      <c r="T329" t="e">
        <f t="shared" si="53"/>
        <v>#N/A</v>
      </c>
    </row>
    <row r="330" spans="1:20" ht="16" x14ac:dyDescent="0.2">
      <c r="A330" s="1">
        <v>329</v>
      </c>
      <c r="B330" s="1" t="s">
        <v>25</v>
      </c>
      <c r="C330" s="1" t="s">
        <v>23</v>
      </c>
      <c r="D330" s="1">
        <v>45.7</v>
      </c>
      <c r="E330" s="1">
        <v>17.3</v>
      </c>
      <c r="F330" s="1">
        <v>193</v>
      </c>
      <c r="G330" s="1">
        <v>3600</v>
      </c>
      <c r="H330" s="1" t="s">
        <v>20</v>
      </c>
      <c r="I330" s="1">
        <v>2009</v>
      </c>
      <c r="L330" t="e">
        <f t="shared" si="45"/>
        <v>#N/A</v>
      </c>
      <c r="M330" t="e">
        <f t="shared" si="46"/>
        <v>#N/A</v>
      </c>
      <c r="N330" t="e">
        <f t="shared" si="47"/>
        <v>#N/A</v>
      </c>
      <c r="O330">
        <f t="shared" si="48"/>
        <v>193</v>
      </c>
      <c r="P330">
        <f t="shared" si="49"/>
        <v>3600</v>
      </c>
      <c r="Q330">
        <f t="shared" si="50"/>
        <v>45.7</v>
      </c>
      <c r="R330" t="e">
        <f t="shared" si="51"/>
        <v>#N/A</v>
      </c>
      <c r="S330" t="e">
        <f t="shared" si="52"/>
        <v>#N/A</v>
      </c>
      <c r="T330" t="e">
        <f t="shared" si="53"/>
        <v>#N/A</v>
      </c>
    </row>
    <row r="331" spans="1:20" ht="16" x14ac:dyDescent="0.2">
      <c r="A331" s="1">
        <v>330</v>
      </c>
      <c r="B331" s="1" t="s">
        <v>25</v>
      </c>
      <c r="C331" s="1" t="s">
        <v>23</v>
      </c>
      <c r="D331" s="1">
        <v>50.7</v>
      </c>
      <c r="E331" s="1">
        <v>19.7</v>
      </c>
      <c r="F331" s="1">
        <v>203</v>
      </c>
      <c r="G331" s="1">
        <v>4050</v>
      </c>
      <c r="H331" s="1" t="s">
        <v>19</v>
      </c>
      <c r="I331" s="1">
        <v>2009</v>
      </c>
      <c r="L331" t="e">
        <f t="shared" si="45"/>
        <v>#N/A</v>
      </c>
      <c r="M331" t="e">
        <f t="shared" si="46"/>
        <v>#N/A</v>
      </c>
      <c r="N331" t="e">
        <f t="shared" si="47"/>
        <v>#N/A</v>
      </c>
      <c r="O331">
        <f t="shared" si="48"/>
        <v>203</v>
      </c>
      <c r="P331">
        <f t="shared" si="49"/>
        <v>4050</v>
      </c>
      <c r="Q331">
        <f t="shared" si="50"/>
        <v>50.7</v>
      </c>
      <c r="R331" t="e">
        <f t="shared" si="51"/>
        <v>#N/A</v>
      </c>
      <c r="S331" t="e">
        <f t="shared" si="52"/>
        <v>#N/A</v>
      </c>
      <c r="T331" t="e">
        <f t="shared" si="53"/>
        <v>#N/A</v>
      </c>
    </row>
    <row r="332" spans="1:20" ht="16" x14ac:dyDescent="0.2">
      <c r="A332" s="1">
        <v>331</v>
      </c>
      <c r="B332" s="1" t="s">
        <v>25</v>
      </c>
      <c r="C332" s="1" t="s">
        <v>23</v>
      </c>
      <c r="D332" s="1">
        <v>42.5</v>
      </c>
      <c r="E332" s="1">
        <v>17.3</v>
      </c>
      <c r="F332" s="1">
        <v>187</v>
      </c>
      <c r="G332" s="1">
        <v>3350</v>
      </c>
      <c r="H332" s="1" t="s">
        <v>20</v>
      </c>
      <c r="I332" s="1">
        <v>2009</v>
      </c>
      <c r="L332" t="e">
        <f t="shared" si="45"/>
        <v>#N/A</v>
      </c>
      <c r="M332" t="e">
        <f t="shared" si="46"/>
        <v>#N/A</v>
      </c>
      <c r="N332" t="e">
        <f t="shared" si="47"/>
        <v>#N/A</v>
      </c>
      <c r="O332">
        <f t="shared" si="48"/>
        <v>187</v>
      </c>
      <c r="P332">
        <f t="shared" si="49"/>
        <v>3350</v>
      </c>
      <c r="Q332">
        <f t="shared" si="50"/>
        <v>42.5</v>
      </c>
      <c r="R332" t="e">
        <f t="shared" si="51"/>
        <v>#N/A</v>
      </c>
      <c r="S332" t="e">
        <f t="shared" si="52"/>
        <v>#N/A</v>
      </c>
      <c r="T332" t="e">
        <f t="shared" si="53"/>
        <v>#N/A</v>
      </c>
    </row>
    <row r="333" spans="1:20" ht="16" x14ac:dyDescent="0.2">
      <c r="A333" s="1">
        <v>332</v>
      </c>
      <c r="B333" s="1" t="s">
        <v>25</v>
      </c>
      <c r="C333" s="1" t="s">
        <v>23</v>
      </c>
      <c r="D333" s="1">
        <v>52.2</v>
      </c>
      <c r="E333" s="1">
        <v>18.8</v>
      </c>
      <c r="F333" s="1">
        <v>197</v>
      </c>
      <c r="G333" s="1">
        <v>3450</v>
      </c>
      <c r="H333" s="1" t="s">
        <v>19</v>
      </c>
      <c r="I333" s="1">
        <v>2009</v>
      </c>
      <c r="L333" t="e">
        <f t="shared" si="45"/>
        <v>#N/A</v>
      </c>
      <c r="M333" t="e">
        <f t="shared" si="46"/>
        <v>#N/A</v>
      </c>
      <c r="N333" t="e">
        <f t="shared" si="47"/>
        <v>#N/A</v>
      </c>
      <c r="O333">
        <f t="shared" si="48"/>
        <v>197</v>
      </c>
      <c r="P333">
        <f t="shared" si="49"/>
        <v>3450</v>
      </c>
      <c r="Q333">
        <f t="shared" si="50"/>
        <v>52.2</v>
      </c>
      <c r="R333" t="e">
        <f t="shared" si="51"/>
        <v>#N/A</v>
      </c>
      <c r="S333" t="e">
        <f t="shared" si="52"/>
        <v>#N/A</v>
      </c>
      <c r="T333" t="e">
        <f t="shared" si="53"/>
        <v>#N/A</v>
      </c>
    </row>
    <row r="334" spans="1:20" ht="16" x14ac:dyDescent="0.2">
      <c r="A334" s="1">
        <v>333</v>
      </c>
      <c r="B334" s="1" t="s">
        <v>25</v>
      </c>
      <c r="C334" s="1" t="s">
        <v>23</v>
      </c>
      <c r="D334" s="1">
        <v>45.2</v>
      </c>
      <c r="E334" s="1">
        <v>16.600000000000001</v>
      </c>
      <c r="F334" s="1">
        <v>191</v>
      </c>
      <c r="G334" s="1">
        <v>3250</v>
      </c>
      <c r="H334" s="1" t="s">
        <v>20</v>
      </c>
      <c r="I334" s="1">
        <v>2009</v>
      </c>
      <c r="L334" t="e">
        <f t="shared" si="45"/>
        <v>#N/A</v>
      </c>
      <c r="M334" t="e">
        <f t="shared" si="46"/>
        <v>#N/A</v>
      </c>
      <c r="N334" t="e">
        <f t="shared" si="47"/>
        <v>#N/A</v>
      </c>
      <c r="O334">
        <f t="shared" si="48"/>
        <v>191</v>
      </c>
      <c r="P334">
        <f t="shared" si="49"/>
        <v>3250</v>
      </c>
      <c r="Q334">
        <f t="shared" si="50"/>
        <v>45.2</v>
      </c>
      <c r="R334" t="e">
        <f t="shared" si="51"/>
        <v>#N/A</v>
      </c>
      <c r="S334" t="e">
        <f t="shared" si="52"/>
        <v>#N/A</v>
      </c>
      <c r="T334" t="e">
        <f t="shared" si="53"/>
        <v>#N/A</v>
      </c>
    </row>
    <row r="335" spans="1:20" ht="16" x14ac:dyDescent="0.2">
      <c r="A335" s="1">
        <v>334</v>
      </c>
      <c r="B335" s="1" t="s">
        <v>25</v>
      </c>
      <c r="C335" s="1" t="s">
        <v>23</v>
      </c>
      <c r="D335" s="1">
        <v>49.3</v>
      </c>
      <c r="E335" s="1">
        <v>19.899999999999999</v>
      </c>
      <c r="F335" s="1">
        <v>203</v>
      </c>
      <c r="G335" s="1">
        <v>4050</v>
      </c>
      <c r="H335" s="1" t="s">
        <v>19</v>
      </c>
      <c r="I335" s="1">
        <v>2009</v>
      </c>
      <c r="L335" t="e">
        <f t="shared" si="45"/>
        <v>#N/A</v>
      </c>
      <c r="M335" t="e">
        <f t="shared" si="46"/>
        <v>#N/A</v>
      </c>
      <c r="N335" t="e">
        <f t="shared" si="47"/>
        <v>#N/A</v>
      </c>
      <c r="O335">
        <f t="shared" si="48"/>
        <v>203</v>
      </c>
      <c r="P335">
        <f t="shared" si="49"/>
        <v>4050</v>
      </c>
      <c r="Q335">
        <f t="shared" si="50"/>
        <v>49.3</v>
      </c>
      <c r="R335" t="e">
        <f t="shared" si="51"/>
        <v>#N/A</v>
      </c>
      <c r="S335" t="e">
        <f t="shared" si="52"/>
        <v>#N/A</v>
      </c>
      <c r="T335" t="e">
        <f t="shared" si="53"/>
        <v>#N/A</v>
      </c>
    </row>
    <row r="336" spans="1:20" ht="16" x14ac:dyDescent="0.2">
      <c r="A336" s="1">
        <v>335</v>
      </c>
      <c r="B336" s="1" t="s">
        <v>25</v>
      </c>
      <c r="C336" s="1" t="s">
        <v>23</v>
      </c>
      <c r="D336" s="1">
        <v>50.2</v>
      </c>
      <c r="E336" s="1">
        <v>18.8</v>
      </c>
      <c r="F336" s="1">
        <v>202</v>
      </c>
      <c r="G336" s="1">
        <v>3800</v>
      </c>
      <c r="H336" s="1" t="s">
        <v>19</v>
      </c>
      <c r="I336" s="1">
        <v>2009</v>
      </c>
      <c r="L336" t="e">
        <f t="shared" si="45"/>
        <v>#N/A</v>
      </c>
      <c r="M336" t="e">
        <f t="shared" si="46"/>
        <v>#N/A</v>
      </c>
      <c r="N336" t="e">
        <f t="shared" si="47"/>
        <v>#N/A</v>
      </c>
      <c r="O336">
        <f t="shared" si="48"/>
        <v>202</v>
      </c>
      <c r="P336">
        <f t="shared" si="49"/>
        <v>3800</v>
      </c>
      <c r="Q336">
        <f t="shared" si="50"/>
        <v>50.2</v>
      </c>
      <c r="R336" t="e">
        <f t="shared" si="51"/>
        <v>#N/A</v>
      </c>
      <c r="S336" t="e">
        <f t="shared" si="52"/>
        <v>#N/A</v>
      </c>
      <c r="T336" t="e">
        <f t="shared" si="53"/>
        <v>#N/A</v>
      </c>
    </row>
    <row r="337" spans="1:20" ht="16" x14ac:dyDescent="0.2">
      <c r="A337" s="1">
        <v>336</v>
      </c>
      <c r="B337" s="1" t="s">
        <v>25</v>
      </c>
      <c r="C337" s="1" t="s">
        <v>23</v>
      </c>
      <c r="D337" s="1">
        <v>45.6</v>
      </c>
      <c r="E337" s="1">
        <v>19.399999999999999</v>
      </c>
      <c r="F337" s="1">
        <v>194</v>
      </c>
      <c r="G337" s="1">
        <v>3525</v>
      </c>
      <c r="H337" s="1" t="s">
        <v>20</v>
      </c>
      <c r="I337" s="1">
        <v>2009</v>
      </c>
      <c r="L337" t="e">
        <f t="shared" si="45"/>
        <v>#N/A</v>
      </c>
      <c r="M337" t="e">
        <f t="shared" si="46"/>
        <v>#N/A</v>
      </c>
      <c r="N337" t="e">
        <f t="shared" si="47"/>
        <v>#N/A</v>
      </c>
      <c r="O337">
        <f t="shared" si="48"/>
        <v>194</v>
      </c>
      <c r="P337">
        <f t="shared" si="49"/>
        <v>3525</v>
      </c>
      <c r="Q337">
        <f t="shared" si="50"/>
        <v>45.6</v>
      </c>
      <c r="R337" t="e">
        <f t="shared" si="51"/>
        <v>#N/A</v>
      </c>
      <c r="S337" t="e">
        <f t="shared" si="52"/>
        <v>#N/A</v>
      </c>
      <c r="T337" t="e">
        <f t="shared" si="53"/>
        <v>#N/A</v>
      </c>
    </row>
    <row r="338" spans="1:20" ht="16" x14ac:dyDescent="0.2">
      <c r="A338" s="1">
        <v>337</v>
      </c>
      <c r="B338" s="1" t="s">
        <v>25</v>
      </c>
      <c r="C338" s="1" t="s">
        <v>23</v>
      </c>
      <c r="D338" s="1">
        <v>51.9</v>
      </c>
      <c r="E338" s="1">
        <v>19.5</v>
      </c>
      <c r="F338" s="1">
        <v>206</v>
      </c>
      <c r="G338" s="1">
        <v>3950</v>
      </c>
      <c r="H338" s="1" t="s">
        <v>19</v>
      </c>
      <c r="I338" s="1">
        <v>2009</v>
      </c>
      <c r="L338" t="e">
        <f t="shared" si="45"/>
        <v>#N/A</v>
      </c>
      <c r="M338" t="e">
        <f t="shared" si="46"/>
        <v>#N/A</v>
      </c>
      <c r="N338" t="e">
        <f t="shared" si="47"/>
        <v>#N/A</v>
      </c>
      <c r="O338">
        <f t="shared" si="48"/>
        <v>206</v>
      </c>
      <c r="P338">
        <f t="shared" si="49"/>
        <v>3950</v>
      </c>
      <c r="Q338">
        <f t="shared" si="50"/>
        <v>51.9</v>
      </c>
      <c r="R338" t="e">
        <f t="shared" si="51"/>
        <v>#N/A</v>
      </c>
      <c r="S338" t="e">
        <f t="shared" si="52"/>
        <v>#N/A</v>
      </c>
      <c r="T338" t="e">
        <f t="shared" si="53"/>
        <v>#N/A</v>
      </c>
    </row>
    <row r="339" spans="1:20" ht="16" x14ac:dyDescent="0.2">
      <c r="A339" s="1">
        <v>338</v>
      </c>
      <c r="B339" s="1" t="s">
        <v>25</v>
      </c>
      <c r="C339" s="1" t="s">
        <v>23</v>
      </c>
      <c r="D339" s="1">
        <v>46.8</v>
      </c>
      <c r="E339" s="1">
        <v>16.5</v>
      </c>
      <c r="F339" s="1">
        <v>189</v>
      </c>
      <c r="G339" s="1">
        <v>3650</v>
      </c>
      <c r="H339" s="1" t="s">
        <v>20</v>
      </c>
      <c r="I339" s="1">
        <v>2009</v>
      </c>
      <c r="L339" t="e">
        <f t="shared" si="45"/>
        <v>#N/A</v>
      </c>
      <c r="M339" t="e">
        <f t="shared" si="46"/>
        <v>#N/A</v>
      </c>
      <c r="N339" t="e">
        <f t="shared" si="47"/>
        <v>#N/A</v>
      </c>
      <c r="O339">
        <f t="shared" si="48"/>
        <v>189</v>
      </c>
      <c r="P339">
        <f t="shared" si="49"/>
        <v>3650</v>
      </c>
      <c r="Q339">
        <f t="shared" si="50"/>
        <v>46.8</v>
      </c>
      <c r="R339" t="e">
        <f t="shared" si="51"/>
        <v>#N/A</v>
      </c>
      <c r="S339" t="e">
        <f t="shared" si="52"/>
        <v>#N/A</v>
      </c>
      <c r="T339" t="e">
        <f t="shared" si="53"/>
        <v>#N/A</v>
      </c>
    </row>
    <row r="340" spans="1:20" ht="16" x14ac:dyDescent="0.2">
      <c r="A340" s="1">
        <v>339</v>
      </c>
      <c r="B340" s="1" t="s">
        <v>25</v>
      </c>
      <c r="C340" s="1" t="s">
        <v>23</v>
      </c>
      <c r="D340" s="1">
        <v>45.7</v>
      </c>
      <c r="E340" s="1">
        <v>17</v>
      </c>
      <c r="F340" s="1">
        <v>195</v>
      </c>
      <c r="G340" s="1">
        <v>3650</v>
      </c>
      <c r="H340" s="1" t="s">
        <v>20</v>
      </c>
      <c r="I340" s="1">
        <v>2009</v>
      </c>
      <c r="L340" t="e">
        <f t="shared" si="45"/>
        <v>#N/A</v>
      </c>
      <c r="M340" t="e">
        <f t="shared" si="46"/>
        <v>#N/A</v>
      </c>
      <c r="N340" t="e">
        <f t="shared" si="47"/>
        <v>#N/A</v>
      </c>
      <c r="O340">
        <f t="shared" si="48"/>
        <v>195</v>
      </c>
      <c r="P340">
        <f t="shared" si="49"/>
        <v>3650</v>
      </c>
      <c r="Q340">
        <f t="shared" si="50"/>
        <v>45.7</v>
      </c>
      <c r="R340" t="e">
        <f t="shared" si="51"/>
        <v>#N/A</v>
      </c>
      <c r="S340" t="e">
        <f t="shared" si="52"/>
        <v>#N/A</v>
      </c>
      <c r="T340" t="e">
        <f t="shared" si="53"/>
        <v>#N/A</v>
      </c>
    </row>
    <row r="341" spans="1:20" ht="16" x14ac:dyDescent="0.2">
      <c r="A341" s="1">
        <v>340</v>
      </c>
      <c r="B341" s="1" t="s">
        <v>25</v>
      </c>
      <c r="C341" s="1" t="s">
        <v>23</v>
      </c>
      <c r="D341" s="1">
        <v>55.8</v>
      </c>
      <c r="E341" s="1">
        <v>19.8</v>
      </c>
      <c r="F341" s="1">
        <v>207</v>
      </c>
      <c r="G341" s="1">
        <v>4000</v>
      </c>
      <c r="H341" s="1" t="s">
        <v>19</v>
      </c>
      <c r="I341" s="1">
        <v>2009</v>
      </c>
      <c r="L341" t="e">
        <f t="shared" si="45"/>
        <v>#N/A</v>
      </c>
      <c r="M341" t="e">
        <f t="shared" si="46"/>
        <v>#N/A</v>
      </c>
      <c r="N341" t="e">
        <f t="shared" si="47"/>
        <v>#N/A</v>
      </c>
      <c r="O341">
        <f t="shared" si="48"/>
        <v>207</v>
      </c>
      <c r="P341">
        <f t="shared" si="49"/>
        <v>4000</v>
      </c>
      <c r="Q341">
        <f t="shared" si="50"/>
        <v>55.8</v>
      </c>
      <c r="R341" t="e">
        <f t="shared" si="51"/>
        <v>#N/A</v>
      </c>
      <c r="S341" t="e">
        <f t="shared" si="52"/>
        <v>#N/A</v>
      </c>
      <c r="T341" t="e">
        <f t="shared" si="53"/>
        <v>#N/A</v>
      </c>
    </row>
    <row r="342" spans="1:20" ht="16" x14ac:dyDescent="0.2">
      <c r="A342" s="1">
        <v>341</v>
      </c>
      <c r="B342" s="1" t="s">
        <v>25</v>
      </c>
      <c r="C342" s="1" t="s">
        <v>23</v>
      </c>
      <c r="D342" s="1">
        <v>43.5</v>
      </c>
      <c r="E342" s="1">
        <v>18.100000000000001</v>
      </c>
      <c r="F342" s="1">
        <v>202</v>
      </c>
      <c r="G342" s="1">
        <v>3400</v>
      </c>
      <c r="H342" s="1" t="s">
        <v>20</v>
      </c>
      <c r="I342" s="1">
        <v>2009</v>
      </c>
      <c r="L342" t="e">
        <f t="shared" si="45"/>
        <v>#N/A</v>
      </c>
      <c r="M342" t="e">
        <f t="shared" si="46"/>
        <v>#N/A</v>
      </c>
      <c r="N342" t="e">
        <f t="shared" si="47"/>
        <v>#N/A</v>
      </c>
      <c r="O342">
        <f t="shared" si="48"/>
        <v>202</v>
      </c>
      <c r="P342">
        <f t="shared" si="49"/>
        <v>3400</v>
      </c>
      <c r="Q342">
        <f t="shared" si="50"/>
        <v>43.5</v>
      </c>
      <c r="R342" t="e">
        <f t="shared" si="51"/>
        <v>#N/A</v>
      </c>
      <c r="S342" t="e">
        <f t="shared" si="52"/>
        <v>#N/A</v>
      </c>
      <c r="T342" t="e">
        <f t="shared" si="53"/>
        <v>#N/A</v>
      </c>
    </row>
    <row r="343" spans="1:20" ht="16" x14ac:dyDescent="0.2">
      <c r="A343" s="1">
        <v>342</v>
      </c>
      <c r="B343" s="1" t="s">
        <v>25</v>
      </c>
      <c r="C343" s="1" t="s">
        <v>23</v>
      </c>
      <c r="D343" s="1">
        <v>49.6</v>
      </c>
      <c r="E343" s="1">
        <v>18.2</v>
      </c>
      <c r="F343" s="1">
        <v>193</v>
      </c>
      <c r="G343" s="1">
        <v>3775</v>
      </c>
      <c r="H343" s="1" t="s">
        <v>19</v>
      </c>
      <c r="I343" s="1">
        <v>2009</v>
      </c>
      <c r="L343" t="e">
        <f t="shared" si="45"/>
        <v>#N/A</v>
      </c>
      <c r="M343" t="e">
        <f t="shared" si="46"/>
        <v>#N/A</v>
      </c>
      <c r="N343" t="e">
        <f t="shared" si="47"/>
        <v>#N/A</v>
      </c>
      <c r="O343">
        <f t="shared" si="48"/>
        <v>193</v>
      </c>
      <c r="P343">
        <f t="shared" si="49"/>
        <v>3775</v>
      </c>
      <c r="Q343">
        <f t="shared" si="50"/>
        <v>49.6</v>
      </c>
      <c r="R343" t="e">
        <f t="shared" si="51"/>
        <v>#N/A</v>
      </c>
      <c r="S343" t="e">
        <f t="shared" si="52"/>
        <v>#N/A</v>
      </c>
      <c r="T343" t="e">
        <f t="shared" si="53"/>
        <v>#N/A</v>
      </c>
    </row>
    <row r="344" spans="1:20" ht="16" x14ac:dyDescent="0.2">
      <c r="A344" s="1">
        <v>343</v>
      </c>
      <c r="B344" s="1" t="s">
        <v>25</v>
      </c>
      <c r="C344" s="1" t="s">
        <v>23</v>
      </c>
      <c r="D344" s="1">
        <v>50.8</v>
      </c>
      <c r="E344" s="1">
        <v>19</v>
      </c>
      <c r="F344" s="1">
        <v>210</v>
      </c>
      <c r="G344" s="1">
        <v>4100</v>
      </c>
      <c r="H344" s="1" t="s">
        <v>19</v>
      </c>
      <c r="I344" s="1">
        <v>2009</v>
      </c>
      <c r="L344" t="e">
        <f t="shared" si="45"/>
        <v>#N/A</v>
      </c>
      <c r="M344" t="e">
        <f t="shared" si="46"/>
        <v>#N/A</v>
      </c>
      <c r="N344" t="e">
        <f t="shared" si="47"/>
        <v>#N/A</v>
      </c>
      <c r="O344">
        <f t="shared" si="48"/>
        <v>210</v>
      </c>
      <c r="P344">
        <f t="shared" si="49"/>
        <v>4100</v>
      </c>
      <c r="Q344">
        <f t="shared" si="50"/>
        <v>50.8</v>
      </c>
      <c r="R344" t="e">
        <f t="shared" si="51"/>
        <v>#N/A</v>
      </c>
      <c r="S344" t="e">
        <f t="shared" si="52"/>
        <v>#N/A</v>
      </c>
      <c r="T344" t="e">
        <f t="shared" si="53"/>
        <v>#N/A</v>
      </c>
    </row>
    <row r="345" spans="1:20" ht="16" x14ac:dyDescent="0.2">
      <c r="A345" s="1">
        <v>344</v>
      </c>
      <c r="B345" s="1" t="s">
        <v>25</v>
      </c>
      <c r="C345" s="1" t="s">
        <v>23</v>
      </c>
      <c r="D345" s="1">
        <v>50.2</v>
      </c>
      <c r="E345" s="1">
        <v>18.7</v>
      </c>
      <c r="F345" s="1">
        <v>198</v>
      </c>
      <c r="G345" s="1">
        <v>3775</v>
      </c>
      <c r="H345" s="1" t="s">
        <v>20</v>
      </c>
      <c r="I345" s="1">
        <v>2009</v>
      </c>
      <c r="L345" t="e">
        <f t="shared" si="45"/>
        <v>#N/A</v>
      </c>
      <c r="M345" t="e">
        <f t="shared" si="46"/>
        <v>#N/A</v>
      </c>
      <c r="N345" t="e">
        <f t="shared" si="47"/>
        <v>#N/A</v>
      </c>
      <c r="O345">
        <f t="shared" si="48"/>
        <v>198</v>
      </c>
      <c r="P345">
        <f t="shared" si="49"/>
        <v>3775</v>
      </c>
      <c r="Q345">
        <f t="shared" si="50"/>
        <v>50.2</v>
      </c>
      <c r="R345" t="e">
        <f t="shared" si="51"/>
        <v>#N/A</v>
      </c>
      <c r="S345" t="e">
        <f t="shared" si="52"/>
        <v>#N/A</v>
      </c>
      <c r="T345" t="e">
        <f t="shared" si="53"/>
        <v>#N/A</v>
      </c>
    </row>
    <row r="346" spans="1:20" x14ac:dyDescent="0.2">
      <c r="L346" t="e">
        <f t="shared" si="45"/>
        <v>#N/A</v>
      </c>
      <c r="M346" t="e">
        <f t="shared" si="46"/>
        <v>#N/A</v>
      </c>
      <c r="N346" t="e">
        <f t="shared" si="47"/>
        <v>#N/A</v>
      </c>
      <c r="O346" t="e">
        <f t="shared" si="48"/>
        <v>#N/A</v>
      </c>
      <c r="P346" t="e">
        <f t="shared" si="49"/>
        <v>#N/A</v>
      </c>
      <c r="Q346" t="e">
        <f t="shared" si="50"/>
        <v>#N/A</v>
      </c>
      <c r="R346" t="e">
        <f t="shared" si="51"/>
        <v>#N/A</v>
      </c>
      <c r="S346" t="e">
        <f t="shared" si="52"/>
        <v>#N/A</v>
      </c>
      <c r="T346" t="e">
        <f t="shared" si="53"/>
        <v>#N/A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89c76f5-ca15-41f9-884b-55ec15a0672a}" enabled="0" method="" siteId="{589c76f5-ca15-41f9-884b-55ec15a067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Indipiginja, Joel</cp:lastModifiedBy>
  <cp:revision/>
  <dcterms:created xsi:type="dcterms:W3CDTF">2026-02-04T16:47:15Z</dcterms:created>
  <dcterms:modified xsi:type="dcterms:W3CDTF">2026-02-05T13:20:33Z</dcterms:modified>
  <cp:category/>
  <cp:contentStatus/>
</cp:coreProperties>
</file>